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520A78D-555F-4516-9424-41C617F6D952}" xr6:coauthVersionLast="47" xr6:coauthVersionMax="47" xr10:uidLastSave="{00000000-0000-0000-0000-000000000000}"/>
  <bookViews>
    <workbookView xWindow="-108" yWindow="-108" windowWidth="23256" windowHeight="12576" xr2:uid="{8BB900E4-1950-482E-9AA4-FC7A83949F44}"/>
  </bookViews>
  <sheets>
    <sheet name="Operations" sheetId="1" r:id="rId1"/>
    <sheet name="Plants" sheetId="2" r:id="rId2"/>
    <sheet name="Strateg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E13" i="2" s="1"/>
  <c r="D12" i="2"/>
  <c r="E12" i="2" s="1"/>
  <c r="D11" i="2"/>
  <c r="E11" i="2" s="1"/>
  <c r="D10" i="2"/>
  <c r="E10" i="2" s="1"/>
  <c r="D9" i="2"/>
  <c r="E9" i="2" s="1"/>
  <c r="E8" i="2"/>
  <c r="E7" i="2"/>
  <c r="E6" i="2"/>
  <c r="E5" i="2"/>
  <c r="E4" i="2"/>
  <c r="E3" i="2"/>
  <c r="E2" i="2"/>
  <c r="Q21" i="1"/>
  <c r="T21" i="1" s="1"/>
  <c r="Q20" i="1"/>
  <c r="T20" i="1" s="1"/>
  <c r="Q18" i="1"/>
  <c r="T18" i="1" s="1"/>
  <c r="Q17" i="1"/>
  <c r="T17" i="1" s="1"/>
  <c r="Q15" i="1"/>
  <c r="T15" i="1" s="1"/>
  <c r="Q13" i="1"/>
  <c r="T13" i="1" s="1"/>
  <c r="Q11" i="1"/>
  <c r="T11" i="1" s="1"/>
  <c r="Q10" i="1"/>
  <c r="T10" i="1" s="1"/>
  <c r="Q9" i="1"/>
  <c r="T9" i="1" s="1"/>
  <c r="Q8" i="1"/>
  <c r="T8" i="1" s="1"/>
  <c r="Q7" i="1"/>
  <c r="T7" i="1" s="1"/>
  <c r="Q6" i="1"/>
  <c r="T6" i="1" s="1"/>
  <c r="Q5" i="1"/>
  <c r="T5" i="1" s="1"/>
  <c r="Q4" i="1"/>
  <c r="T4" i="1" s="1"/>
  <c r="Q3" i="1"/>
  <c r="T3" i="1" s="1"/>
  <c r="Q2" i="1"/>
  <c r="T2" i="1" s="1"/>
</calcChain>
</file>

<file path=xl/sharedStrings.xml><?xml version="1.0" encoding="utf-8"?>
<sst xmlns="http://schemas.openxmlformats.org/spreadsheetml/2006/main" count="324" uniqueCount="110">
  <si>
    <t xml:space="preserve">Product </t>
  </si>
  <si>
    <t xml:space="preserve">Operation </t>
  </si>
  <si>
    <t xml:space="preserve">Operation number </t>
  </si>
  <si>
    <t>Condition 1</t>
  </si>
  <si>
    <t>Condition 2</t>
  </si>
  <si>
    <t>Condition 3</t>
  </si>
  <si>
    <t>Condition 4</t>
  </si>
  <si>
    <t>Condition 5</t>
  </si>
  <si>
    <t>Machine rate p/h</t>
  </si>
  <si>
    <t xml:space="preserve">% operateur </t>
  </si>
  <si>
    <t xml:space="preserve">Scrap </t>
  </si>
  <si>
    <t>Generic CAPEX</t>
  </si>
  <si>
    <t>Specific CAPEX</t>
  </si>
  <si>
    <t xml:space="preserve">Machine dedicated </t>
  </si>
  <si>
    <t>Set up time in h</t>
  </si>
  <si>
    <t>OEE</t>
  </si>
  <si>
    <t xml:space="preserve">Capacity </t>
  </si>
  <si>
    <t>Capacity available</t>
  </si>
  <si>
    <t>Tooling cost k€</t>
  </si>
  <si>
    <t xml:space="preserve">Life </t>
  </si>
  <si>
    <t xml:space="preserve">rod chokes </t>
  </si>
  <si>
    <t xml:space="preserve">Winding </t>
  </si>
  <si>
    <t>Wire &gt;= 1,2 mm</t>
  </si>
  <si>
    <t xml:space="preserve">Tinning yes </t>
  </si>
  <si>
    <t>Tinning thickness &gt; 10microns</t>
  </si>
  <si>
    <t>No</t>
  </si>
  <si>
    <t>Yes</t>
  </si>
  <si>
    <t>Lifetime waranty</t>
  </si>
  <si>
    <t>Large winding  machine for relativly high wire diameter, standard tinning station</t>
  </si>
  <si>
    <t>Tinning thickness &lt; 10microns</t>
  </si>
  <si>
    <t>Large winding  machine for relativly high wire diameter, specific tinning station for low thickness control</t>
  </si>
  <si>
    <t>Tinning no</t>
  </si>
  <si>
    <t>N/A</t>
  </si>
  <si>
    <t xml:space="preserve">Large winding  machine for relativly high wire diameter, with stripping, fluxing and tinning station disabled reducing tooling cost </t>
  </si>
  <si>
    <t>Wire &lt; 1,2 mm</t>
  </si>
  <si>
    <t>Small winding  machine for relativly high wire diameter, standard tinning station</t>
  </si>
  <si>
    <t>Small winding  machine for relativly high wire diameter, specific tinning station for low thickness control</t>
  </si>
  <si>
    <t xml:space="preserve">Small winding  machine for relativly high wire diameter, with stripping, fluxing and tinning station disabled reducing tooling cost </t>
  </si>
  <si>
    <t>Rod chokes</t>
  </si>
  <si>
    <t>Ferrite insertion</t>
  </si>
  <si>
    <t>ferrite is present</t>
  </si>
  <si>
    <t>Volumes &gt;= 1000 000 pieces / y</t>
  </si>
  <si>
    <t xml:space="preserve">Ferrites are glued </t>
  </si>
  <si>
    <t xml:space="preserve">Auto gluing machine with bowl feeders and automatic glue dispenser and ferrite insertion </t>
  </si>
  <si>
    <t xml:space="preserve">Ferrites are locked  </t>
  </si>
  <si>
    <t xml:space="preserve">Auto locking machine with bowl feeders </t>
  </si>
  <si>
    <t>Volumes &lt; 1000 000 pieces per year</t>
  </si>
  <si>
    <t xml:space="preserve">Manual gluing station with glue dispenser </t>
  </si>
  <si>
    <t xml:space="preserve">Manual locking station </t>
  </si>
  <si>
    <t>ferrite is not present</t>
  </si>
  <si>
    <t xml:space="preserve">Baking </t>
  </si>
  <si>
    <t>Continuous oven to cure the glue</t>
  </si>
  <si>
    <t xml:space="preserve">Finishing </t>
  </si>
  <si>
    <t xml:space="preserve">Manual bend necessary </t>
  </si>
  <si>
    <t>Manual bending station</t>
  </si>
  <si>
    <t xml:space="preserve">Manual bend not necessary </t>
  </si>
  <si>
    <t xml:space="preserve">Push test </t>
  </si>
  <si>
    <t>Automatic push test equipped with bowl feeder and specific holding and testing fixtures</t>
  </si>
  <si>
    <t>Volumes &lt; 1000 000 pieces / y</t>
  </si>
  <si>
    <t>Manual push test equipped with specific holding and testing fixtures</t>
  </si>
  <si>
    <t>Final ispection / packaging</t>
  </si>
  <si>
    <t>Automatic packaging station with final inspection and packaging integrated</t>
  </si>
  <si>
    <t>Final inpection seperated from packaiging station</t>
  </si>
  <si>
    <t>Zone</t>
  </si>
  <si>
    <t xml:space="preserve">Currency </t>
  </si>
  <si>
    <t>DL Cost / hour</t>
  </si>
  <si>
    <t>VOH Cost / hour</t>
  </si>
  <si>
    <t>FOH Load % of DC</t>
  </si>
  <si>
    <t>Mng fees as a % of DC</t>
  </si>
  <si>
    <t>Europe</t>
  </si>
  <si>
    <t>EUR</t>
  </si>
  <si>
    <t>North America</t>
  </si>
  <si>
    <t>USD</t>
  </si>
  <si>
    <t>Korea / Japan</t>
  </si>
  <si>
    <t>KWON</t>
  </si>
  <si>
    <t>China</t>
  </si>
  <si>
    <t>CNY</t>
  </si>
  <si>
    <t xml:space="preserve">China </t>
  </si>
  <si>
    <t>India / South pacific</t>
  </si>
  <si>
    <t>INR</t>
  </si>
  <si>
    <t xml:space="preserve">Plant </t>
  </si>
  <si>
    <t>Nadhour</t>
  </si>
  <si>
    <t>Fahs</t>
  </si>
  <si>
    <t>Poitiers</t>
  </si>
  <si>
    <t>Amiens</t>
  </si>
  <si>
    <t>Frankfurt</t>
  </si>
  <si>
    <t>Monterrey</t>
  </si>
  <si>
    <t>Galeana</t>
  </si>
  <si>
    <t>Daegu</t>
  </si>
  <si>
    <t>Tianjin</t>
  </si>
  <si>
    <t xml:space="preserve">Anhui </t>
  </si>
  <si>
    <t>Kunshan</t>
  </si>
  <si>
    <t>Chennai</t>
  </si>
  <si>
    <t>Fuse chokes</t>
  </si>
  <si>
    <t>Torroid chokes</t>
  </si>
  <si>
    <t>South America</t>
  </si>
  <si>
    <t xml:space="preserve">Machine description </t>
  </si>
  <si>
    <t>Specific CAPEX explaination</t>
  </si>
  <si>
    <t>Wire guiding system for stripping, fluxing and tinning. Stripping control programming, spindle tools for coil forming, tools to form different shapes and cut off coil.</t>
  </si>
  <si>
    <t>Specific tinning device to obtain low thickness tin plating.</t>
  </si>
  <si>
    <t>Wire guiding system for stripping. Stripping control programming, spindle tools for coil forming, tools to form different shapes and cut off coil.</t>
  </si>
  <si>
    <t>Tooling explaination</t>
  </si>
  <si>
    <t xml:space="preserve">Bowl feeder, feeding rails, fixtures and grippers, programming, adjustment </t>
  </si>
  <si>
    <t>Fixture and dending tools</t>
  </si>
  <si>
    <t>"+3600/(#Turn*0,15+1,5)"</t>
  </si>
  <si>
    <t>"+3600/(#Turn*0,15+2)"</t>
  </si>
  <si>
    <t>"+3600/(#Turn*0,15+1)"</t>
  </si>
  <si>
    <t>"+3600/(#Turn*0,1+1,5)"</t>
  </si>
  <si>
    <t>"+3600/(#Turn*0,1+2)"</t>
  </si>
  <si>
    <t>"+3600/(#Turn*0,1+1)"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</si>
</sst>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"/>
    <numFmt numFmtId="177" formatCode="0.0%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Aptos Narrow"/>
      <family val="2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D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176" fontId="1" fillId="0" borderId="2" xfId="0" applyNumberFormat="1" applyFont="1" applyBorder="1"/>
    <xf numFmtId="9" fontId="1" fillId="0" borderId="2" xfId="0" applyNumberFormat="1" applyFont="1" applyBorder="1"/>
    <xf numFmtId="0" fontId="1" fillId="0" borderId="3" xfId="0" applyFont="1" applyBorder="1"/>
    <xf numFmtId="176" fontId="1" fillId="0" borderId="3" xfId="0" applyNumberFormat="1" applyFont="1" applyBorder="1"/>
    <xf numFmtId="9" fontId="1" fillId="0" borderId="3" xfId="0" applyNumberFormat="1" applyFont="1" applyBorder="1"/>
    <xf numFmtId="0" fontId="1" fillId="0" borderId="4" xfId="0" applyFont="1" applyBorder="1"/>
    <xf numFmtId="176" fontId="1" fillId="0" borderId="4" xfId="0" applyNumberFormat="1" applyFont="1" applyBorder="1"/>
    <xf numFmtId="9" fontId="1" fillId="0" borderId="4" xfId="0" applyNumberFormat="1" applyFont="1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9" fontId="0" fillId="3" borderId="0" xfId="0" applyNumberFormat="1" applyFill="1"/>
    <xf numFmtId="9" fontId="0" fillId="4" borderId="0" xfId="0" applyNumberFormat="1" applyFill="1"/>
    <xf numFmtId="10" fontId="0" fillId="4" borderId="0" xfId="0" applyNumberFormat="1" applyFill="1"/>
    <xf numFmtId="0" fontId="0" fillId="4" borderId="0" xfId="0" applyFill="1"/>
    <xf numFmtId="177" fontId="0" fillId="4" borderId="0" xfId="0" applyNumberFormat="1" applyFill="1"/>
    <xf numFmtId="1" fontId="0" fillId="4" borderId="0" xfId="0" applyNumberFormat="1" applyFill="1"/>
    <xf numFmtId="177" fontId="0" fillId="4" borderId="0" xfId="1" applyNumberFormat="1" applyFont="1" applyFill="1" applyAlignment="1"/>
    <xf numFmtId="0" fontId="4" fillId="5" borderId="0" xfId="0" applyFont="1" applyFill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FE4B2DBE-AAB6-41EC-9479-30DA6A549D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8DE5-220F-4342-8723-D254E46318A5}">
  <dimension ref="A1:X21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S9" sqref="S9"/>
    </sheetView>
  </sheetViews>
  <sheetFormatPr defaultColWidth="11.5546875" defaultRowHeight="13.8" x14ac:dyDescent="0.25"/>
  <cols>
    <col min="4" max="4" width="9.88671875" customWidth="1"/>
    <col min="5" max="8" width="11.5546875" customWidth="1"/>
    <col min="9" max="9" width="23.5546875" bestFit="1" customWidth="1"/>
    <col min="22" max="22" width="3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</v>
      </c>
      <c r="U1" t="s">
        <v>19</v>
      </c>
      <c r="V1" t="s">
        <v>96</v>
      </c>
      <c r="W1" t="s">
        <v>97</v>
      </c>
      <c r="X1" t="s">
        <v>101</v>
      </c>
    </row>
    <row r="2" spans="1:24" s="26" customFormat="1" ht="14.4" x14ac:dyDescent="0.3">
      <c r="A2" s="26" t="s">
        <v>20</v>
      </c>
      <c r="B2" s="26" t="s">
        <v>21</v>
      </c>
      <c r="C2" s="26">
        <v>10</v>
      </c>
      <c r="D2" s="26" t="s">
        <v>22</v>
      </c>
      <c r="E2" s="26" t="s">
        <v>23</v>
      </c>
      <c r="F2" s="26" t="s">
        <v>24</v>
      </c>
      <c r="I2" s="36" t="s">
        <v>104</v>
      </c>
      <c r="J2" s="30">
        <v>0.15</v>
      </c>
      <c r="K2" s="30">
        <v>0.01</v>
      </c>
      <c r="L2" s="26">
        <v>20</v>
      </c>
      <c r="M2" s="26">
        <v>0</v>
      </c>
      <c r="N2" s="26" t="s">
        <v>25</v>
      </c>
      <c r="O2" s="26">
        <v>2</v>
      </c>
      <c r="P2" s="30">
        <v>0.85</v>
      </c>
      <c r="Q2" s="26" t="e">
        <f t="shared" ref="Q2:Q8" si="0">+I2*6000*P2</f>
        <v>#VALUE!</v>
      </c>
      <c r="R2" s="26" t="s">
        <v>26</v>
      </c>
      <c r="S2" s="32">
        <v>1</v>
      </c>
      <c r="T2" s="26" t="e">
        <f>+Q2</f>
        <v>#VALUE!</v>
      </c>
      <c r="U2" s="26" t="s">
        <v>27</v>
      </c>
      <c r="V2" s="26" t="s">
        <v>28</v>
      </c>
      <c r="W2" s="26" t="s">
        <v>32</v>
      </c>
      <c r="X2" s="26" t="s">
        <v>98</v>
      </c>
    </row>
    <row r="3" spans="1:24" s="26" customFormat="1" ht="14.4" x14ac:dyDescent="0.3">
      <c r="A3" s="26" t="s">
        <v>20</v>
      </c>
      <c r="B3" s="26" t="s">
        <v>21</v>
      </c>
      <c r="C3" s="26">
        <v>10</v>
      </c>
      <c r="D3" s="26" t="s">
        <v>22</v>
      </c>
      <c r="E3" s="26" t="s">
        <v>23</v>
      </c>
      <c r="F3" s="26" t="s">
        <v>29</v>
      </c>
      <c r="I3" s="36" t="s">
        <v>105</v>
      </c>
      <c r="J3" s="30">
        <v>0.3</v>
      </c>
      <c r="K3" s="30">
        <v>0.02</v>
      </c>
      <c r="L3" s="26">
        <v>20</v>
      </c>
      <c r="M3" s="26">
        <v>2</v>
      </c>
      <c r="N3" s="26" t="s">
        <v>25</v>
      </c>
      <c r="O3" s="26">
        <v>2</v>
      </c>
      <c r="P3" s="30">
        <v>0.75</v>
      </c>
      <c r="Q3" s="26" t="e">
        <f t="shared" si="0"/>
        <v>#VALUE!</v>
      </c>
      <c r="R3" s="26" t="s">
        <v>26</v>
      </c>
      <c r="S3" s="32">
        <v>1</v>
      </c>
      <c r="T3" s="26" t="e">
        <f t="shared" ref="T3:T11" si="1">+Q3</f>
        <v>#VALUE!</v>
      </c>
      <c r="U3" s="26" t="s">
        <v>27</v>
      </c>
      <c r="V3" s="26" t="s">
        <v>30</v>
      </c>
      <c r="W3" s="26" t="s">
        <v>99</v>
      </c>
      <c r="X3" s="26" t="s">
        <v>98</v>
      </c>
    </row>
    <row r="4" spans="1:24" s="26" customFormat="1" ht="14.4" x14ac:dyDescent="0.3">
      <c r="A4" s="26" t="s">
        <v>20</v>
      </c>
      <c r="B4" s="26" t="s">
        <v>21</v>
      </c>
      <c r="C4" s="26">
        <v>10</v>
      </c>
      <c r="D4" s="26" t="s">
        <v>22</v>
      </c>
      <c r="E4" s="26" t="s">
        <v>31</v>
      </c>
      <c r="F4" s="26" t="s">
        <v>32</v>
      </c>
      <c r="I4" s="36" t="s">
        <v>106</v>
      </c>
      <c r="J4" s="30">
        <v>0.1</v>
      </c>
      <c r="K4" s="31">
        <v>5.0000000000000001E-3</v>
      </c>
      <c r="L4" s="26">
        <v>20</v>
      </c>
      <c r="N4" s="26" t="s">
        <v>25</v>
      </c>
      <c r="O4" s="26">
        <v>1</v>
      </c>
      <c r="P4" s="30">
        <v>0.95</v>
      </c>
      <c r="Q4" s="26" t="e">
        <f t="shared" si="0"/>
        <v>#VALUE!</v>
      </c>
      <c r="R4" s="26" t="s">
        <v>26</v>
      </c>
      <c r="S4" s="32">
        <v>1</v>
      </c>
      <c r="T4" s="26" t="e">
        <f t="shared" si="1"/>
        <v>#VALUE!</v>
      </c>
      <c r="U4" s="26" t="s">
        <v>27</v>
      </c>
      <c r="V4" s="26" t="s">
        <v>33</v>
      </c>
      <c r="W4" s="26" t="s">
        <v>32</v>
      </c>
      <c r="X4" s="26" t="s">
        <v>100</v>
      </c>
    </row>
    <row r="5" spans="1:24" s="26" customFormat="1" ht="14.4" x14ac:dyDescent="0.3">
      <c r="A5" s="26" t="s">
        <v>20</v>
      </c>
      <c r="B5" s="26" t="s">
        <v>21</v>
      </c>
      <c r="C5" s="26">
        <v>10</v>
      </c>
      <c r="D5" s="26" t="s">
        <v>34</v>
      </c>
      <c r="E5" s="26" t="s">
        <v>23</v>
      </c>
      <c r="F5" s="26" t="s">
        <v>24</v>
      </c>
      <c r="I5" s="36" t="s">
        <v>107</v>
      </c>
      <c r="J5" s="30">
        <v>0.15</v>
      </c>
      <c r="K5" s="30">
        <v>0.01</v>
      </c>
      <c r="L5" s="26">
        <v>16</v>
      </c>
      <c r="N5" s="26" t="s">
        <v>25</v>
      </c>
      <c r="O5" s="26">
        <v>2</v>
      </c>
      <c r="P5" s="30">
        <v>0.85</v>
      </c>
      <c r="Q5" s="26" t="e">
        <f t="shared" si="0"/>
        <v>#VALUE!</v>
      </c>
      <c r="R5" s="26" t="s">
        <v>26</v>
      </c>
      <c r="S5" s="32">
        <v>1</v>
      </c>
      <c r="T5" s="26" t="e">
        <f t="shared" si="1"/>
        <v>#VALUE!</v>
      </c>
      <c r="U5" s="26" t="s">
        <v>27</v>
      </c>
      <c r="V5" s="26" t="s">
        <v>35</v>
      </c>
      <c r="W5" s="26" t="s">
        <v>32</v>
      </c>
      <c r="X5" s="26" t="s">
        <v>98</v>
      </c>
    </row>
    <row r="6" spans="1:24" s="26" customFormat="1" ht="14.4" x14ac:dyDescent="0.3">
      <c r="A6" s="26" t="s">
        <v>20</v>
      </c>
      <c r="B6" s="26" t="s">
        <v>21</v>
      </c>
      <c r="C6" s="26">
        <v>10</v>
      </c>
      <c r="D6" s="26" t="s">
        <v>34</v>
      </c>
      <c r="E6" s="26" t="s">
        <v>23</v>
      </c>
      <c r="F6" s="26" t="s">
        <v>29</v>
      </c>
      <c r="I6" s="36" t="s">
        <v>108</v>
      </c>
      <c r="J6" s="30">
        <v>0.3</v>
      </c>
      <c r="K6" s="30">
        <v>0.02</v>
      </c>
      <c r="L6" s="26">
        <v>16</v>
      </c>
      <c r="M6" s="26">
        <v>2</v>
      </c>
      <c r="N6" s="26" t="s">
        <v>25</v>
      </c>
      <c r="O6" s="26">
        <v>2</v>
      </c>
      <c r="P6" s="30">
        <v>0.75</v>
      </c>
      <c r="Q6" s="26" t="e">
        <f t="shared" si="0"/>
        <v>#VALUE!</v>
      </c>
      <c r="R6" s="26" t="s">
        <v>26</v>
      </c>
      <c r="S6" s="32">
        <v>1</v>
      </c>
      <c r="T6" s="26" t="e">
        <f t="shared" si="1"/>
        <v>#VALUE!</v>
      </c>
      <c r="U6" s="26" t="s">
        <v>27</v>
      </c>
      <c r="V6" s="26" t="s">
        <v>36</v>
      </c>
      <c r="W6" s="26" t="s">
        <v>99</v>
      </c>
      <c r="X6" s="26" t="s">
        <v>98</v>
      </c>
    </row>
    <row r="7" spans="1:24" s="26" customFormat="1" ht="14.4" x14ac:dyDescent="0.3">
      <c r="A7" s="26" t="s">
        <v>20</v>
      </c>
      <c r="B7" s="26" t="s">
        <v>21</v>
      </c>
      <c r="C7" s="26">
        <v>10</v>
      </c>
      <c r="D7" s="26" t="s">
        <v>34</v>
      </c>
      <c r="E7" s="26" t="s">
        <v>31</v>
      </c>
      <c r="F7" s="26" t="s">
        <v>32</v>
      </c>
      <c r="I7" s="36" t="s">
        <v>109</v>
      </c>
      <c r="J7" s="30">
        <v>0.1</v>
      </c>
      <c r="K7" s="31">
        <v>5.0000000000000001E-3</v>
      </c>
      <c r="L7" s="26">
        <v>16</v>
      </c>
      <c r="N7" s="26" t="s">
        <v>25</v>
      </c>
      <c r="O7" s="26">
        <v>1</v>
      </c>
      <c r="P7" s="30">
        <v>0.95</v>
      </c>
      <c r="Q7" s="26" t="e">
        <f t="shared" si="0"/>
        <v>#VALUE!</v>
      </c>
      <c r="R7" s="26" t="s">
        <v>26</v>
      </c>
      <c r="S7" s="32">
        <v>1</v>
      </c>
      <c r="T7" s="26" t="e">
        <f t="shared" si="1"/>
        <v>#VALUE!</v>
      </c>
      <c r="U7" s="26" t="s">
        <v>27</v>
      </c>
      <c r="V7" s="26" t="s">
        <v>37</v>
      </c>
      <c r="W7" s="26" t="s">
        <v>32</v>
      </c>
      <c r="X7" s="26" t="s">
        <v>100</v>
      </c>
    </row>
    <row r="8" spans="1:24" s="28" customFormat="1" x14ac:dyDescent="0.25">
      <c r="A8" s="28" t="s">
        <v>38</v>
      </c>
      <c r="B8" s="28" t="s">
        <v>39</v>
      </c>
      <c r="C8" s="28">
        <v>20</v>
      </c>
      <c r="D8" s="28" t="s">
        <v>40</v>
      </c>
      <c r="E8" s="28" t="s">
        <v>41</v>
      </c>
      <c r="F8" s="28" t="s">
        <v>42</v>
      </c>
      <c r="I8" s="28">
        <v>1500</v>
      </c>
      <c r="J8" s="30">
        <v>0.25</v>
      </c>
      <c r="K8" s="33">
        <v>2E-3</v>
      </c>
      <c r="L8" s="32">
        <v>20</v>
      </c>
      <c r="M8" s="28">
        <v>5</v>
      </c>
      <c r="N8" s="28" t="s">
        <v>25</v>
      </c>
      <c r="O8" s="28">
        <v>2</v>
      </c>
      <c r="P8" s="30">
        <v>0.85</v>
      </c>
      <c r="Q8" s="28">
        <f t="shared" si="0"/>
        <v>7650000</v>
      </c>
      <c r="R8" s="28" t="s">
        <v>25</v>
      </c>
      <c r="S8" s="28">
        <v>0</v>
      </c>
      <c r="T8" s="28">
        <f t="shared" si="1"/>
        <v>7650000</v>
      </c>
      <c r="U8" s="28" t="s">
        <v>27</v>
      </c>
      <c r="V8" s="28" t="s">
        <v>43</v>
      </c>
      <c r="W8" s="28" t="s">
        <v>102</v>
      </c>
    </row>
    <row r="9" spans="1:24" s="28" customFormat="1" x14ac:dyDescent="0.25">
      <c r="A9" s="28" t="s">
        <v>38</v>
      </c>
      <c r="B9" s="28" t="s">
        <v>39</v>
      </c>
      <c r="C9" s="28">
        <v>20</v>
      </c>
      <c r="D9" s="28" t="s">
        <v>40</v>
      </c>
      <c r="E9" s="28" t="s">
        <v>41</v>
      </c>
      <c r="F9" s="28" t="s">
        <v>44</v>
      </c>
      <c r="I9" s="32">
        <v>1500</v>
      </c>
      <c r="J9" s="30">
        <v>0.15</v>
      </c>
      <c r="K9" s="33">
        <v>2E-3</v>
      </c>
      <c r="L9" s="32">
        <v>20</v>
      </c>
      <c r="M9" s="28">
        <v>5</v>
      </c>
      <c r="N9" s="28" t="s">
        <v>26</v>
      </c>
      <c r="O9" s="28" t="s">
        <v>32</v>
      </c>
      <c r="P9" s="30">
        <v>0.85</v>
      </c>
      <c r="Q9" s="28">
        <f t="shared" ref="Q9:Q11" si="2">+I9*6000*P9</f>
        <v>7650000</v>
      </c>
      <c r="R9" s="28" t="s">
        <v>25</v>
      </c>
      <c r="S9" s="28">
        <v>3</v>
      </c>
      <c r="T9" s="28">
        <f t="shared" si="1"/>
        <v>7650000</v>
      </c>
      <c r="U9" s="28" t="s">
        <v>27</v>
      </c>
      <c r="V9" s="28" t="s">
        <v>45</v>
      </c>
      <c r="W9" s="28" t="s">
        <v>102</v>
      </c>
    </row>
    <row r="10" spans="1:24" s="28" customFormat="1" x14ac:dyDescent="0.25">
      <c r="A10" s="28" t="s">
        <v>38</v>
      </c>
      <c r="B10" s="28" t="s">
        <v>39</v>
      </c>
      <c r="C10" s="28">
        <v>20</v>
      </c>
      <c r="D10" s="28" t="s">
        <v>40</v>
      </c>
      <c r="E10" s="28" t="s">
        <v>46</v>
      </c>
      <c r="F10" s="28" t="s">
        <v>42</v>
      </c>
      <c r="I10" s="32">
        <v>600</v>
      </c>
      <c r="J10" s="29">
        <v>1</v>
      </c>
      <c r="K10" s="33">
        <v>1E-3</v>
      </c>
      <c r="L10" s="28">
        <v>2</v>
      </c>
      <c r="M10" s="28">
        <v>0</v>
      </c>
      <c r="N10" s="28" t="s">
        <v>25</v>
      </c>
      <c r="O10" s="28">
        <v>1</v>
      </c>
      <c r="P10" s="29">
        <v>1</v>
      </c>
      <c r="Q10" s="28">
        <f t="shared" si="2"/>
        <v>3600000</v>
      </c>
      <c r="R10" s="28" t="s">
        <v>25</v>
      </c>
      <c r="S10" s="28">
        <v>0</v>
      </c>
      <c r="T10" s="28">
        <f t="shared" si="1"/>
        <v>3600000</v>
      </c>
      <c r="U10" s="28" t="s">
        <v>27</v>
      </c>
      <c r="V10" s="28" t="s">
        <v>47</v>
      </c>
      <c r="W10" s="28" t="s">
        <v>32</v>
      </c>
      <c r="X10" s="28" t="s">
        <v>32</v>
      </c>
    </row>
    <row r="11" spans="1:24" s="28" customFormat="1" x14ac:dyDescent="0.25">
      <c r="A11" s="28" t="s">
        <v>38</v>
      </c>
      <c r="B11" s="28" t="s">
        <v>39</v>
      </c>
      <c r="C11" s="28">
        <v>20</v>
      </c>
      <c r="D11" s="28" t="s">
        <v>40</v>
      </c>
      <c r="E11" s="28" t="s">
        <v>46</v>
      </c>
      <c r="F11" s="28" t="s">
        <v>44</v>
      </c>
      <c r="I11" s="32">
        <v>600</v>
      </c>
      <c r="J11" s="29">
        <v>1</v>
      </c>
      <c r="K11" s="33">
        <v>1E-3</v>
      </c>
      <c r="L11" s="28">
        <v>2</v>
      </c>
      <c r="M11" s="28">
        <v>0</v>
      </c>
      <c r="N11" s="28" t="s">
        <v>26</v>
      </c>
      <c r="O11" s="28" t="s">
        <v>32</v>
      </c>
      <c r="P11" s="29">
        <v>1</v>
      </c>
      <c r="Q11" s="28">
        <f t="shared" si="2"/>
        <v>3600000</v>
      </c>
      <c r="R11" s="28" t="s">
        <v>25</v>
      </c>
      <c r="S11" s="28">
        <v>5</v>
      </c>
      <c r="T11" s="28">
        <f t="shared" si="1"/>
        <v>3600000</v>
      </c>
      <c r="U11" s="28" t="s">
        <v>27</v>
      </c>
      <c r="V11" s="28" t="s">
        <v>48</v>
      </c>
      <c r="W11" s="28" t="s">
        <v>32</v>
      </c>
      <c r="X11" s="28" t="s">
        <v>103</v>
      </c>
    </row>
    <row r="12" spans="1:24" s="28" customFormat="1" x14ac:dyDescent="0.25">
      <c r="A12" s="28" t="s">
        <v>38</v>
      </c>
      <c r="B12" s="28" t="s">
        <v>39</v>
      </c>
      <c r="C12" s="28">
        <v>20</v>
      </c>
      <c r="D12" s="28" t="s">
        <v>49</v>
      </c>
      <c r="I12" s="28" t="s">
        <v>32</v>
      </c>
      <c r="J12" s="28" t="s">
        <v>32</v>
      </c>
      <c r="K12" s="28" t="s">
        <v>32</v>
      </c>
      <c r="L12" s="28" t="s">
        <v>32</v>
      </c>
      <c r="M12" s="28" t="s">
        <v>32</v>
      </c>
      <c r="N12" s="28" t="s">
        <v>32</v>
      </c>
      <c r="O12" s="28" t="s">
        <v>32</v>
      </c>
      <c r="P12" s="28" t="s">
        <v>32</v>
      </c>
      <c r="Q12" s="28" t="s">
        <v>32</v>
      </c>
      <c r="R12" s="28" t="s">
        <v>26</v>
      </c>
      <c r="S12" s="28" t="s">
        <v>32</v>
      </c>
      <c r="T12" s="28" t="s">
        <v>32</v>
      </c>
      <c r="U12" s="28" t="s">
        <v>32</v>
      </c>
      <c r="V12" s="28" t="s">
        <v>32</v>
      </c>
      <c r="W12" s="28" t="s">
        <v>32</v>
      </c>
      <c r="X12" s="28" t="s">
        <v>32</v>
      </c>
    </row>
    <row r="13" spans="1:24" s="26" customFormat="1" x14ac:dyDescent="0.25">
      <c r="A13" s="26" t="s">
        <v>38</v>
      </c>
      <c r="B13" s="26" t="s">
        <v>50</v>
      </c>
      <c r="C13" s="26">
        <v>30</v>
      </c>
      <c r="D13" s="26" t="s">
        <v>42</v>
      </c>
      <c r="I13" s="26">
        <v>1000</v>
      </c>
      <c r="J13" s="27">
        <v>0.1</v>
      </c>
      <c r="K13" s="31">
        <v>5.0000000000000001E-4</v>
      </c>
      <c r="L13" s="26">
        <v>15</v>
      </c>
      <c r="M13" s="26">
        <v>0</v>
      </c>
      <c r="N13" s="26" t="s">
        <v>25</v>
      </c>
      <c r="O13" s="26">
        <v>0</v>
      </c>
      <c r="P13" s="30">
        <v>0.95</v>
      </c>
      <c r="Q13" s="26">
        <f t="shared" ref="Q13" si="3">+I13*6000*P13</f>
        <v>5700000</v>
      </c>
      <c r="R13" s="26" t="s">
        <v>26</v>
      </c>
      <c r="S13" s="26">
        <v>0</v>
      </c>
      <c r="T13" s="26">
        <f t="shared" ref="T13" si="4">+Q13</f>
        <v>5700000</v>
      </c>
      <c r="U13" s="26" t="s">
        <v>27</v>
      </c>
      <c r="V13" s="26" t="s">
        <v>51</v>
      </c>
    </row>
    <row r="14" spans="1:24" s="26" customFormat="1" x14ac:dyDescent="0.25">
      <c r="A14" s="26" t="s">
        <v>38</v>
      </c>
      <c r="B14" s="26" t="s">
        <v>50</v>
      </c>
      <c r="C14" s="26">
        <v>30</v>
      </c>
      <c r="D14" s="26" t="s">
        <v>44</v>
      </c>
      <c r="I14" s="26" t="s">
        <v>32</v>
      </c>
      <c r="J14" s="26" t="s">
        <v>32</v>
      </c>
      <c r="K14" s="26" t="s">
        <v>32</v>
      </c>
      <c r="L14" s="26" t="s">
        <v>32</v>
      </c>
      <c r="M14" s="26" t="s">
        <v>32</v>
      </c>
      <c r="N14" s="26" t="s">
        <v>32</v>
      </c>
      <c r="O14" s="26" t="s">
        <v>32</v>
      </c>
      <c r="P14" s="26" t="s">
        <v>32</v>
      </c>
      <c r="Q14" s="26" t="s">
        <v>32</v>
      </c>
      <c r="R14" s="26" t="s">
        <v>26</v>
      </c>
      <c r="S14" s="26" t="s">
        <v>32</v>
      </c>
      <c r="T14" s="26" t="s">
        <v>32</v>
      </c>
      <c r="U14" s="26" t="s">
        <v>32</v>
      </c>
    </row>
    <row r="15" spans="1:24" s="28" customFormat="1" x14ac:dyDescent="0.25">
      <c r="A15" s="28" t="s">
        <v>38</v>
      </c>
      <c r="B15" s="28" t="s">
        <v>52</v>
      </c>
      <c r="C15" s="28">
        <v>40</v>
      </c>
      <c r="D15" s="28" t="s">
        <v>53</v>
      </c>
      <c r="I15" s="34">
        <v>600</v>
      </c>
      <c r="J15" s="29">
        <v>1</v>
      </c>
      <c r="K15" s="35">
        <v>1E-3</v>
      </c>
      <c r="L15" s="28">
        <v>3</v>
      </c>
      <c r="M15" s="28">
        <v>2</v>
      </c>
      <c r="N15" s="28" t="s">
        <v>26</v>
      </c>
      <c r="O15" s="28" t="s">
        <v>32</v>
      </c>
      <c r="P15" s="29">
        <v>1</v>
      </c>
      <c r="Q15" s="28">
        <f t="shared" ref="Q15:Q18" si="5">+I15*6000*P15</f>
        <v>3600000</v>
      </c>
      <c r="R15" s="28" t="s">
        <v>26</v>
      </c>
      <c r="S15" s="28">
        <v>3</v>
      </c>
      <c r="T15" s="28">
        <f t="shared" ref="T15:T18" si="6">+Q15</f>
        <v>3600000</v>
      </c>
      <c r="U15" s="28" t="s">
        <v>27</v>
      </c>
      <c r="V15" s="28" t="s">
        <v>54</v>
      </c>
    </row>
    <row r="16" spans="1:24" s="28" customFormat="1" x14ac:dyDescent="0.25">
      <c r="A16" s="28" t="s">
        <v>38</v>
      </c>
      <c r="B16" s="28" t="s">
        <v>52</v>
      </c>
      <c r="C16" s="28">
        <v>40</v>
      </c>
      <c r="D16" s="28" t="s">
        <v>55</v>
      </c>
      <c r="I16" s="28" t="s">
        <v>32</v>
      </c>
      <c r="J16" s="28" t="s">
        <v>32</v>
      </c>
      <c r="K16" s="28" t="s">
        <v>32</v>
      </c>
      <c r="L16" s="28" t="s">
        <v>32</v>
      </c>
      <c r="M16" s="28" t="s">
        <v>32</v>
      </c>
      <c r="N16" s="28" t="s">
        <v>32</v>
      </c>
      <c r="O16" s="28" t="s">
        <v>32</v>
      </c>
      <c r="P16" s="28" t="s">
        <v>32</v>
      </c>
      <c r="Q16" s="28" t="s">
        <v>32</v>
      </c>
      <c r="R16" s="28" t="s">
        <v>26</v>
      </c>
      <c r="S16" s="28" t="s">
        <v>32</v>
      </c>
      <c r="T16" s="28" t="s">
        <v>32</v>
      </c>
      <c r="U16" s="28" t="s">
        <v>32</v>
      </c>
    </row>
    <row r="17" spans="1:22" s="26" customFormat="1" x14ac:dyDescent="0.25">
      <c r="A17" s="26" t="s">
        <v>38</v>
      </c>
      <c r="B17" s="26" t="s">
        <v>56</v>
      </c>
      <c r="C17" s="26">
        <v>50</v>
      </c>
      <c r="D17" s="26" t="s">
        <v>40</v>
      </c>
      <c r="E17" s="26" t="s">
        <v>42</v>
      </c>
      <c r="F17" s="26" t="s">
        <v>41</v>
      </c>
      <c r="I17" s="32">
        <v>1200</v>
      </c>
      <c r="J17" s="30">
        <v>0.05</v>
      </c>
      <c r="K17" s="31">
        <v>5.0000000000000001E-4</v>
      </c>
      <c r="L17" s="26">
        <v>8</v>
      </c>
      <c r="M17" s="26">
        <v>0</v>
      </c>
      <c r="N17" s="26" t="s">
        <v>25</v>
      </c>
      <c r="O17" s="26">
        <v>2</v>
      </c>
      <c r="P17" s="27">
        <v>0.8</v>
      </c>
      <c r="Q17" s="26">
        <f t="shared" si="5"/>
        <v>5760000</v>
      </c>
      <c r="R17" s="26" t="s">
        <v>25</v>
      </c>
      <c r="S17" s="26">
        <v>4</v>
      </c>
      <c r="T17" s="26">
        <f t="shared" si="6"/>
        <v>5760000</v>
      </c>
      <c r="U17" s="26" t="s">
        <v>27</v>
      </c>
      <c r="V17" s="26" t="s">
        <v>57</v>
      </c>
    </row>
    <row r="18" spans="1:22" s="26" customFormat="1" x14ac:dyDescent="0.25">
      <c r="A18" s="26" t="s">
        <v>38</v>
      </c>
      <c r="B18" s="26" t="s">
        <v>56</v>
      </c>
      <c r="C18" s="26">
        <v>50</v>
      </c>
      <c r="D18" s="26" t="s">
        <v>40</v>
      </c>
      <c r="E18" s="26" t="s">
        <v>42</v>
      </c>
      <c r="F18" s="26" t="s">
        <v>58</v>
      </c>
      <c r="I18" s="32">
        <v>1200</v>
      </c>
      <c r="J18" s="27">
        <v>1</v>
      </c>
      <c r="K18" s="31">
        <v>5.0000000000000001E-4</v>
      </c>
      <c r="L18" s="26">
        <v>3</v>
      </c>
      <c r="M18" s="26">
        <v>0</v>
      </c>
      <c r="N18" s="26" t="s">
        <v>25</v>
      </c>
      <c r="O18" s="26">
        <v>2</v>
      </c>
      <c r="P18" s="27">
        <v>1</v>
      </c>
      <c r="Q18" s="26">
        <f t="shared" si="5"/>
        <v>7200000</v>
      </c>
      <c r="R18" s="26" t="s">
        <v>26</v>
      </c>
      <c r="S18" s="26">
        <v>4</v>
      </c>
      <c r="T18" s="26">
        <f t="shared" si="6"/>
        <v>7200000</v>
      </c>
      <c r="U18" s="26" t="s">
        <v>27</v>
      </c>
      <c r="V18" s="26" t="s">
        <v>59</v>
      </c>
    </row>
    <row r="19" spans="1:22" s="26" customFormat="1" x14ac:dyDescent="0.25">
      <c r="A19" s="26" t="s">
        <v>38</v>
      </c>
      <c r="B19" s="26" t="s">
        <v>56</v>
      </c>
      <c r="C19" s="26">
        <v>50</v>
      </c>
      <c r="D19" s="26" t="s">
        <v>49</v>
      </c>
      <c r="I19" s="26" t="s">
        <v>32</v>
      </c>
      <c r="J19" s="26" t="s">
        <v>32</v>
      </c>
      <c r="K19" s="26" t="s">
        <v>32</v>
      </c>
      <c r="L19" s="26" t="s">
        <v>32</v>
      </c>
      <c r="M19" s="26" t="s">
        <v>32</v>
      </c>
      <c r="N19" s="26" t="s">
        <v>32</v>
      </c>
      <c r="O19" s="26" t="s">
        <v>32</v>
      </c>
      <c r="P19" s="26" t="s">
        <v>32</v>
      </c>
      <c r="Q19" s="26" t="s">
        <v>32</v>
      </c>
      <c r="R19" s="26" t="s">
        <v>26</v>
      </c>
      <c r="S19" s="26" t="s">
        <v>32</v>
      </c>
      <c r="T19" s="26" t="s">
        <v>32</v>
      </c>
      <c r="U19" s="26" t="s">
        <v>32</v>
      </c>
    </row>
    <row r="20" spans="1:22" s="28" customFormat="1" x14ac:dyDescent="0.25">
      <c r="A20" s="28" t="s">
        <v>38</v>
      </c>
      <c r="B20" s="28" t="s">
        <v>60</v>
      </c>
      <c r="C20" s="28">
        <v>60</v>
      </c>
      <c r="D20" s="28" t="s">
        <v>41</v>
      </c>
      <c r="I20" s="28">
        <v>8000</v>
      </c>
      <c r="J20" s="29">
        <v>1</v>
      </c>
      <c r="K20" s="29">
        <v>0</v>
      </c>
      <c r="L20" s="28">
        <v>8</v>
      </c>
      <c r="M20" s="28">
        <v>2</v>
      </c>
      <c r="N20" s="28" t="s">
        <v>25</v>
      </c>
      <c r="O20" s="28">
        <v>0.5</v>
      </c>
      <c r="P20" s="29">
        <v>1</v>
      </c>
      <c r="Q20" s="28">
        <f>+I20*6000*P20</f>
        <v>48000000</v>
      </c>
      <c r="R20" s="28" t="s">
        <v>26</v>
      </c>
      <c r="S20" s="28">
        <v>0</v>
      </c>
      <c r="T20" s="28">
        <f t="shared" ref="T20:T21" si="7">+Q20</f>
        <v>48000000</v>
      </c>
      <c r="U20" s="28" t="s">
        <v>27</v>
      </c>
      <c r="V20" s="28" t="s">
        <v>61</v>
      </c>
    </row>
    <row r="21" spans="1:22" s="28" customFormat="1" x14ac:dyDescent="0.25">
      <c r="A21" s="28" t="s">
        <v>38</v>
      </c>
      <c r="B21" s="28" t="s">
        <v>60</v>
      </c>
      <c r="C21" s="28">
        <v>60</v>
      </c>
      <c r="D21" s="28" t="s">
        <v>58</v>
      </c>
      <c r="I21" s="28">
        <v>4000</v>
      </c>
      <c r="J21" s="29">
        <v>1</v>
      </c>
      <c r="K21" s="29">
        <v>0</v>
      </c>
      <c r="L21" s="28">
        <v>3</v>
      </c>
      <c r="M21" s="28">
        <v>2</v>
      </c>
      <c r="N21" s="28" t="s">
        <v>25</v>
      </c>
      <c r="O21" s="28">
        <v>0</v>
      </c>
      <c r="P21" s="29">
        <v>1</v>
      </c>
      <c r="Q21" s="28">
        <f>+I21*6000*P21</f>
        <v>24000000</v>
      </c>
      <c r="R21" s="28" t="s">
        <v>26</v>
      </c>
      <c r="S21" s="28">
        <v>0</v>
      </c>
      <c r="T21" s="28">
        <f t="shared" si="7"/>
        <v>24000000</v>
      </c>
      <c r="U21" s="28" t="s">
        <v>27</v>
      </c>
      <c r="V21" s="28" t="s">
        <v>62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2915-F809-451E-BE18-0FF9C3E48C57}">
  <dimension ref="A1:G13"/>
  <sheetViews>
    <sheetView workbookViewId="0">
      <selection activeCell="C17" sqref="C17"/>
    </sheetView>
  </sheetViews>
  <sheetFormatPr defaultColWidth="11.5546875" defaultRowHeight="13.8" x14ac:dyDescent="0.25"/>
  <sheetData>
    <row r="1" spans="1:7" ht="29.4" thickBot="1" x14ac:dyDescent="0.3">
      <c r="A1" s="11" t="s">
        <v>80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 ht="14.4" x14ac:dyDescent="0.3">
      <c r="A2" s="12" t="s">
        <v>81</v>
      </c>
      <c r="B2" s="2" t="s">
        <v>69</v>
      </c>
      <c r="C2" s="2" t="s">
        <v>70</v>
      </c>
      <c r="D2" s="3">
        <v>1.5</v>
      </c>
      <c r="E2" s="3">
        <f>+D2*0.5</f>
        <v>0.75</v>
      </c>
      <c r="F2" s="4">
        <v>0.5</v>
      </c>
      <c r="G2" s="4">
        <v>0.25</v>
      </c>
    </row>
    <row r="3" spans="1:7" ht="14.4" x14ac:dyDescent="0.3">
      <c r="A3" s="13" t="s">
        <v>82</v>
      </c>
      <c r="B3" s="2" t="s">
        <v>69</v>
      </c>
      <c r="C3" s="5" t="s">
        <v>70</v>
      </c>
      <c r="D3" s="6">
        <v>2.2999999999999998</v>
      </c>
      <c r="E3" s="6">
        <f t="shared" ref="E3:E8" si="0">+D3*0.5</f>
        <v>1.1499999999999999</v>
      </c>
      <c r="F3" s="7">
        <v>0.5</v>
      </c>
      <c r="G3" s="7">
        <v>0.25</v>
      </c>
    </row>
    <row r="4" spans="1:7" ht="14.4" x14ac:dyDescent="0.3">
      <c r="A4" s="13" t="s">
        <v>83</v>
      </c>
      <c r="B4" s="2" t="s">
        <v>69</v>
      </c>
      <c r="C4" s="5" t="s">
        <v>70</v>
      </c>
      <c r="D4" s="6">
        <v>7</v>
      </c>
      <c r="E4" s="6">
        <f>+D4*0.7</f>
        <v>4.8999999999999995</v>
      </c>
      <c r="F4" s="7">
        <v>0.5</v>
      </c>
      <c r="G4" s="7">
        <v>0.25</v>
      </c>
    </row>
    <row r="5" spans="1:7" ht="14.4" x14ac:dyDescent="0.3">
      <c r="A5" s="13" t="s">
        <v>84</v>
      </c>
      <c r="B5" s="2" t="s">
        <v>69</v>
      </c>
      <c r="C5" s="5" t="s">
        <v>70</v>
      </c>
      <c r="D5" s="6">
        <v>20</v>
      </c>
      <c r="E5" s="6">
        <f>+D5*0.8</f>
        <v>16</v>
      </c>
      <c r="F5" s="7">
        <v>0.5</v>
      </c>
      <c r="G5" s="7">
        <v>0.25</v>
      </c>
    </row>
    <row r="6" spans="1:7" ht="14.4" x14ac:dyDescent="0.3">
      <c r="A6" s="13" t="s">
        <v>85</v>
      </c>
      <c r="B6" s="2" t="s">
        <v>69</v>
      </c>
      <c r="C6" s="5" t="s">
        <v>70</v>
      </c>
      <c r="D6" s="6">
        <v>50</v>
      </c>
      <c r="E6" s="6">
        <f>+D6*1</f>
        <v>50</v>
      </c>
      <c r="F6" s="7">
        <v>0.5</v>
      </c>
      <c r="G6" s="7">
        <v>0.25</v>
      </c>
    </row>
    <row r="7" spans="1:7" ht="14.4" x14ac:dyDescent="0.3">
      <c r="A7" s="13" t="s">
        <v>86</v>
      </c>
      <c r="B7" s="5" t="s">
        <v>71</v>
      </c>
      <c r="C7" s="5" t="s">
        <v>72</v>
      </c>
      <c r="D7" s="6">
        <v>4</v>
      </c>
      <c r="E7" s="6">
        <f>+D7*0.7</f>
        <v>2.8</v>
      </c>
      <c r="F7" s="7">
        <v>0.5</v>
      </c>
      <c r="G7" s="7">
        <v>0.25</v>
      </c>
    </row>
    <row r="8" spans="1:7" ht="14.4" x14ac:dyDescent="0.3">
      <c r="A8" s="13" t="s">
        <v>87</v>
      </c>
      <c r="B8" s="5" t="s">
        <v>71</v>
      </c>
      <c r="C8" s="5" t="s">
        <v>72</v>
      </c>
      <c r="D8" s="6">
        <v>2.8</v>
      </c>
      <c r="E8" s="6">
        <f t="shared" si="0"/>
        <v>1.4</v>
      </c>
      <c r="F8" s="7">
        <v>0.5</v>
      </c>
      <c r="G8" s="7">
        <v>0.25</v>
      </c>
    </row>
    <row r="9" spans="1:7" ht="14.4" x14ac:dyDescent="0.3">
      <c r="A9" s="13" t="s">
        <v>88</v>
      </c>
      <c r="B9" s="5" t="s">
        <v>73</v>
      </c>
      <c r="C9" s="5" t="s">
        <v>74</v>
      </c>
      <c r="D9" s="6">
        <f>40*1600</f>
        <v>64000</v>
      </c>
      <c r="E9" s="6">
        <f>+D9*0.8</f>
        <v>51200</v>
      </c>
      <c r="F9" s="7">
        <v>0.5</v>
      </c>
      <c r="G9" s="7">
        <v>0.25</v>
      </c>
    </row>
    <row r="10" spans="1:7" ht="14.4" x14ac:dyDescent="0.3">
      <c r="A10" s="13" t="s">
        <v>89</v>
      </c>
      <c r="B10" s="5" t="s">
        <v>75</v>
      </c>
      <c r="C10" s="5" t="s">
        <v>76</v>
      </c>
      <c r="D10" s="6">
        <f>4.5*8.6</f>
        <v>38.699999999999996</v>
      </c>
      <c r="E10" s="6">
        <f>+D10*0.8</f>
        <v>30.959999999999997</v>
      </c>
      <c r="F10" s="7">
        <v>0.5</v>
      </c>
      <c r="G10" s="7">
        <v>0.25</v>
      </c>
    </row>
    <row r="11" spans="1:7" ht="14.4" x14ac:dyDescent="0.3">
      <c r="A11" s="13" t="s">
        <v>90</v>
      </c>
      <c r="B11" s="5" t="s">
        <v>77</v>
      </c>
      <c r="C11" s="5" t="s">
        <v>76</v>
      </c>
      <c r="D11" s="6">
        <f>2.5*8.8</f>
        <v>22</v>
      </c>
      <c r="E11" s="6">
        <f>+D11*0.5</f>
        <v>11</v>
      </c>
      <c r="F11" s="7">
        <v>0.5</v>
      </c>
      <c r="G11" s="7">
        <v>0.25</v>
      </c>
    </row>
    <row r="12" spans="1:7" ht="14.4" x14ac:dyDescent="0.3">
      <c r="A12" s="13" t="s">
        <v>91</v>
      </c>
      <c r="B12" s="5" t="s">
        <v>77</v>
      </c>
      <c r="C12" s="5" t="s">
        <v>76</v>
      </c>
      <c r="D12" s="6">
        <f>3.5*8.6</f>
        <v>30.099999999999998</v>
      </c>
      <c r="E12" s="6">
        <f>+D12*0.6</f>
        <v>18.059999999999999</v>
      </c>
      <c r="F12" s="7">
        <v>0.5</v>
      </c>
      <c r="G12" s="7">
        <v>0.25</v>
      </c>
    </row>
    <row r="13" spans="1:7" ht="15" thickBot="1" x14ac:dyDescent="0.35">
      <c r="A13" s="14" t="s">
        <v>92</v>
      </c>
      <c r="B13" s="8" t="s">
        <v>78</v>
      </c>
      <c r="C13" s="8" t="s">
        <v>79</v>
      </c>
      <c r="D13" s="9">
        <f>2*102</f>
        <v>204</v>
      </c>
      <c r="E13" s="9">
        <f>+D13*0.7</f>
        <v>142.79999999999998</v>
      </c>
      <c r="F13" s="10">
        <v>0.5</v>
      </c>
      <c r="G13" s="10">
        <v>0.25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8821-EE42-4C56-9249-C24EC26F375E}">
  <dimension ref="A1:G4"/>
  <sheetViews>
    <sheetView workbookViewId="0">
      <selection activeCell="C10" sqref="C10"/>
    </sheetView>
  </sheetViews>
  <sheetFormatPr defaultColWidth="11.5546875" defaultRowHeight="13.8" x14ac:dyDescent="0.25"/>
  <cols>
    <col min="1" max="1" width="20.5546875" customWidth="1"/>
  </cols>
  <sheetData>
    <row r="1" spans="1:7" ht="42" thickBot="1" x14ac:dyDescent="0.3">
      <c r="B1" s="24" t="s">
        <v>69</v>
      </c>
      <c r="C1" s="24" t="s">
        <v>95</v>
      </c>
      <c r="D1" s="24" t="s">
        <v>71</v>
      </c>
      <c r="E1" s="24" t="s">
        <v>73</v>
      </c>
      <c r="F1" s="24" t="s">
        <v>77</v>
      </c>
      <c r="G1" s="25" t="s">
        <v>78</v>
      </c>
    </row>
    <row r="2" spans="1:7" x14ac:dyDescent="0.25">
      <c r="A2" s="15" t="s">
        <v>38</v>
      </c>
      <c r="B2" s="16" t="s">
        <v>82</v>
      </c>
      <c r="C2" s="16" t="s">
        <v>86</v>
      </c>
      <c r="D2" s="16" t="s">
        <v>86</v>
      </c>
      <c r="E2" s="16" t="s">
        <v>91</v>
      </c>
      <c r="F2" s="16" t="s">
        <v>91</v>
      </c>
      <c r="G2" s="17" t="s">
        <v>92</v>
      </c>
    </row>
    <row r="3" spans="1:7" x14ac:dyDescent="0.25">
      <c r="A3" s="18" t="s">
        <v>93</v>
      </c>
      <c r="B3" s="19" t="s">
        <v>91</v>
      </c>
      <c r="C3" s="19" t="s">
        <v>91</v>
      </c>
      <c r="D3" s="19" t="s">
        <v>91</v>
      </c>
      <c r="E3" s="19" t="s">
        <v>91</v>
      </c>
      <c r="F3" s="19" t="s">
        <v>91</v>
      </c>
      <c r="G3" s="20" t="s">
        <v>91</v>
      </c>
    </row>
    <row r="4" spans="1:7" ht="14.4" thickBot="1" x14ac:dyDescent="0.3">
      <c r="A4" s="21" t="s">
        <v>94</v>
      </c>
      <c r="B4" s="22" t="s">
        <v>82</v>
      </c>
      <c r="C4" s="22" t="s">
        <v>86</v>
      </c>
      <c r="D4" s="22" t="s">
        <v>86</v>
      </c>
      <c r="E4" s="22" t="s">
        <v>91</v>
      </c>
      <c r="F4" s="22" t="s">
        <v>91</v>
      </c>
      <c r="G4" s="23" t="s">
        <v>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Plants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SPICKER</dc:creator>
  <cp:lastModifiedBy>Allan RIEGEL</cp:lastModifiedBy>
  <dcterms:created xsi:type="dcterms:W3CDTF">2025-11-23T13:07:48Z</dcterms:created>
  <dcterms:modified xsi:type="dcterms:W3CDTF">2025-12-03T10:59:36Z</dcterms:modified>
</cp:coreProperties>
</file>