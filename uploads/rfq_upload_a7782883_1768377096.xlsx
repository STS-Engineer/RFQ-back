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vocarbongroup.sharepoint.com/sites/pdc/RFQ_Costing Files/RFQ/Brush/25626-BRU/06- Costing/"/>
    </mc:Choice>
  </mc:AlternateContent>
  <xr:revisionPtr revIDLastSave="0" documentId="8_{290790C6-412C-4ADE-ACB5-FE14A0BDA8A9}" xr6:coauthVersionLast="47" xr6:coauthVersionMax="47" xr10:uidLastSave="{00000000-0000-0000-0000-000000000000}"/>
  <bookViews>
    <workbookView xWindow="-110" yWindow="-110" windowWidth="19420" windowHeight="11500" xr2:uid="{A131945E-1809-404C-956A-1694EDC24D99}"/>
  </bookViews>
  <sheets>
    <sheet name="RFQ Data" sheetId="2" r:id="rId1"/>
    <sheet name="PRICE" sheetId="1" r:id="rId2"/>
    <sheet name="PROCESS &amp; CAPEX" sheetId="4" r:id="rId3"/>
    <sheet name="Small runner-PRICE" sheetId="8" r:id="rId4"/>
    <sheet name="Package offer" sheetId="9" r:id="rId5"/>
    <sheet name="Invest principle" sheetId="6" r:id="rId6"/>
    <sheet name="Costing principle" sheetId="5" r:id="rId7"/>
    <sheet name="Samples guideline" sheetId="7" r:id="rId8"/>
  </sheets>
  <externalReferences>
    <externalReference r:id="rId9"/>
  </externalReferences>
  <definedNames>
    <definedName name="Apps_Stategy">#REF!</definedName>
    <definedName name="AREA_TO_PASTE1">'RFQ Data'!$A$1</definedName>
    <definedName name="AREA_TO_PASTE2">PRICE!$A$1</definedName>
    <definedName name="AREA_TO_PASTE3">'PROCESS &amp; CAPEX'!$A$1</definedName>
    <definedName name="COEFF_1">PRICE!$T$63</definedName>
    <definedName name="COEFF_2">PRICE!$T$64</definedName>
    <definedName name="COEFF_3">PRICE!$T$65</definedName>
    <definedName name="Cur_rate">'Small runner-PRICE'!$C$6</definedName>
    <definedName name="CUR_RM_Index">'[1]RFQ Data'!$K$24</definedName>
    <definedName name="Data5_Agressivity">PRICE!$O$58</definedName>
    <definedName name="INDEX_IMPACT">'PROCESS &amp; CAPEX'!$M$13:$M$26</definedName>
    <definedName name="PRICE_inCUR">PRICE!$N$51</definedName>
    <definedName name="_xlnm.Print_Area" localSheetId="1">PRICE!$A:$AK</definedName>
    <definedName name="_xlnm.Print_Area" localSheetId="2">'PROCESS &amp; CAPEX'!$A:$O</definedName>
    <definedName name="_xlnm.Print_Area" localSheetId="0">'RFQ Data'!$A:$L</definedName>
    <definedName name="QuotingCUR">'RFQ Data'!$H$20</definedName>
    <definedName name="SIMUL_INDEXATION">'PROCESS &amp; CAPEX'!$L$13:$L$26</definedName>
    <definedName name="SIMUL_NEWRATE">PRICE!$AU$7</definedName>
    <definedName name="SIMUL_PRICE">PRICE!$W$7</definedName>
    <definedName name="SIMUL_VOL">PRICE!$Y$41</definedName>
    <definedName name="SIMUL_VOL_PRODUCTIVITY">PRICE!$AO$2:$AS$3</definedName>
    <definedName name="Small_Runner_Zone">'Small runner-PRICE'!$D$32,'Small runner-PRICE'!$D$10:$D$15</definedName>
    <definedName name="Strategy_type">#REF!</definedName>
    <definedName name="Target_price">'RFQ Data'!$C$11</definedName>
    <definedName name="Trader">#REF!</definedName>
    <definedName name="User1">#REF!</definedName>
    <definedName name="user3">#REF!</definedName>
    <definedName name="User4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4" l="1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64" i="4"/>
  <c r="F19" i="8"/>
  <c r="E18" i="8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E7" i="8"/>
  <c r="E5" i="8" l="1"/>
  <c r="E6" i="8"/>
  <c r="E17" i="8" l="1"/>
  <c r="K8" i="8"/>
  <c r="L8" i="8"/>
  <c r="M8" i="8"/>
  <c r="N8" i="8"/>
  <c r="J8" i="8"/>
  <c r="I8" i="8"/>
  <c r="D23" i="8"/>
  <c r="D24" i="8" s="1"/>
  <c r="D25" i="8" s="1"/>
  <c r="E5" i="9"/>
  <c r="E7" i="9" s="1"/>
  <c r="O23" i="9"/>
  <c r="O31" i="9"/>
  <c r="O30" i="9"/>
  <c r="H31" i="9"/>
  <c r="H32" i="9"/>
  <c r="H30" i="9"/>
  <c r="E22" i="7"/>
  <c r="D22" i="7"/>
  <c r="E21" i="7"/>
  <c r="D21" i="7"/>
  <c r="E20" i="7"/>
  <c r="D20" i="7"/>
  <c r="D19" i="7"/>
  <c r="Y109" i="4"/>
  <c r="Y110" i="4"/>
  <c r="AA102" i="4"/>
  <c r="AA103" i="4"/>
  <c r="AA104" i="4"/>
  <c r="AA105" i="4"/>
  <c r="AA106" i="4"/>
  <c r="AA107" i="4"/>
  <c r="AA108" i="4"/>
  <c r="AA101" i="4"/>
  <c r="AA99" i="4" s="1"/>
  <c r="Z108" i="4"/>
  <c r="Z102" i="4"/>
  <c r="Z103" i="4"/>
  <c r="Z104" i="4"/>
  <c r="Z105" i="4"/>
  <c r="Z106" i="4"/>
  <c r="Z107" i="4"/>
  <c r="Z101" i="4"/>
  <c r="Y101" i="4"/>
  <c r="Y102" i="4"/>
  <c r="Y103" i="4"/>
  <c r="Y104" i="4"/>
  <c r="Y105" i="4"/>
  <c r="Y106" i="4"/>
  <c r="Y107" i="4"/>
  <c r="Y108" i="4"/>
  <c r="Y96" i="4"/>
  <c r="Y95" i="4"/>
  <c r="Y94" i="4"/>
  <c r="R101" i="4"/>
  <c r="R109" i="4"/>
  <c r="R107" i="4"/>
  <c r="R105" i="4"/>
  <c r="R103" i="4"/>
  <c r="Y99" i="4" l="1"/>
  <c r="Z99" i="4"/>
  <c r="C6" i="8"/>
  <c r="D26" i="8"/>
  <c r="E12" i="9"/>
  <c r="E6" i="9"/>
  <c r="E13" i="9"/>
  <c r="E11" i="9"/>
  <c r="E16" i="9"/>
  <c r="E15" i="9"/>
  <c r="E14" i="9"/>
  <c r="E10" i="9"/>
  <c r="E9" i="9"/>
  <c r="E8" i="9"/>
  <c r="AQ7" i="1"/>
  <c r="BF7" i="1"/>
  <c r="AX8" i="1" s="1"/>
  <c r="AS7" i="1"/>
  <c r="AV7" i="1" s="1"/>
  <c r="AT7" i="1"/>
  <c r="AP9" i="1"/>
  <c r="AQ9" i="1"/>
  <c r="AR9" i="1"/>
  <c r="AS9" i="1"/>
  <c r="AO9" i="1"/>
  <c r="BE2" i="1"/>
  <c r="AY2" i="1"/>
  <c r="AC8" i="1"/>
  <c r="AK7" i="1"/>
  <c r="Y50" i="1"/>
  <c r="Z50" i="1"/>
  <c r="AA11" i="1"/>
  <c r="Z11" i="1"/>
  <c r="D11" i="8" l="1"/>
  <c r="E11" i="8" s="1"/>
  <c r="D12" i="8"/>
  <c r="E12" i="8" s="1"/>
  <c r="D13" i="8"/>
  <c r="E13" i="8" s="1"/>
  <c r="D14" i="8"/>
  <c r="E14" i="8" s="1"/>
  <c r="D10" i="8"/>
  <c r="D15" i="8"/>
  <c r="E15" i="8" s="1"/>
  <c r="E19" i="8"/>
  <c r="F30" i="8"/>
  <c r="B21" i="8" a="1"/>
  <c r="B21" i="8" s="1"/>
  <c r="C21" i="8"/>
  <c r="F18" i="8"/>
  <c r="D27" i="8"/>
  <c r="AZ55" i="1"/>
  <c r="AZ57" i="1" s="1"/>
  <c r="AY75" i="1"/>
  <c r="AA1" i="1"/>
  <c r="AA2" i="1"/>
  <c r="L71" i="4"/>
  <c r="M66" i="4"/>
  <c r="AI3" i="1"/>
  <c r="BD3" i="1" s="1"/>
  <c r="AH3" i="1"/>
  <c r="BC3" i="1" s="1"/>
  <c r="AG3" i="1"/>
  <c r="BB3" i="1" s="1"/>
  <c r="AF3" i="1"/>
  <c r="BA3" i="1" s="1"/>
  <c r="AE3" i="1"/>
  <c r="AZ3" i="1" s="1"/>
  <c r="AE5" i="1"/>
  <c r="AZ5" i="1" s="1"/>
  <c r="AE6" i="1"/>
  <c r="AZ6" i="1" s="1"/>
  <c r="AF2" i="1"/>
  <c r="AG2" i="1"/>
  <c r="AH2" i="1"/>
  <c r="AI2" i="1"/>
  <c r="AE2" i="1"/>
  <c r="AS1" i="1"/>
  <c r="AR1" i="1"/>
  <c r="AP1" i="1"/>
  <c r="AQ1" i="1"/>
  <c r="AO1" i="1"/>
  <c r="AD52" i="1"/>
  <c r="AY52" i="1" s="1"/>
  <c r="AD50" i="1"/>
  <c r="AY50" i="1" s="1"/>
  <c r="AD57" i="1"/>
  <c r="AY57" i="1" s="1"/>
  <c r="AD56" i="1"/>
  <c r="AY56" i="1" s="1"/>
  <c r="AD6" i="1"/>
  <c r="AY6" i="1" s="1"/>
  <c r="AJ6" i="1"/>
  <c r="BE6" i="1" s="1"/>
  <c r="AI6" i="1"/>
  <c r="BD6" i="1" s="1"/>
  <c r="AH6" i="1"/>
  <c r="BC6" i="1" s="1"/>
  <c r="AG6" i="1"/>
  <c r="BB6" i="1" s="1"/>
  <c r="AF6" i="1"/>
  <c r="BA6" i="1" s="1"/>
  <c r="AJ5" i="1"/>
  <c r="BE5" i="1" s="1"/>
  <c r="AI5" i="1"/>
  <c r="BD5" i="1" s="1"/>
  <c r="AH5" i="1"/>
  <c r="BC5" i="1" s="1"/>
  <c r="AG5" i="1"/>
  <c r="BB5" i="1" s="1"/>
  <c r="AF5" i="1"/>
  <c r="BA5" i="1" s="1"/>
  <c r="AD5" i="1"/>
  <c r="AY5" i="1" s="1"/>
  <c r="AJ3" i="1"/>
  <c r="BE3" i="1" s="1"/>
  <c r="AD3" i="1"/>
  <c r="AY3" i="1" s="1"/>
  <c r="V60" i="1"/>
  <c r="X78" i="1"/>
  <c r="X71" i="1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68" i="4"/>
  <c r="S67" i="4"/>
  <c r="S66" i="4"/>
  <c r="T43" i="1"/>
  <c r="E10" i="8" l="1"/>
  <c r="E29" i="8" s="1"/>
  <c r="F29" i="8" s="1"/>
  <c r="E9" i="8"/>
  <c r="E20" i="8" s="1"/>
  <c r="F20" i="8" s="1"/>
  <c r="D28" i="8"/>
  <c r="X82" i="1"/>
  <c r="AE73" i="1"/>
  <c r="AZ2" i="1"/>
  <c r="AI11" i="1"/>
  <c r="BD2" i="1"/>
  <c r="AG70" i="1"/>
  <c r="BB70" i="1" s="1"/>
  <c r="BB2" i="1"/>
  <c r="AH11" i="1"/>
  <c r="BC11" i="1" s="1"/>
  <c r="BC2" i="1"/>
  <c r="AF19" i="1"/>
  <c r="BA19" i="1" s="1"/>
  <c r="BA2" i="1"/>
  <c r="AE11" i="1"/>
  <c r="AZ11" i="1" s="1"/>
  <c r="AU2" i="1"/>
  <c r="AF73" i="1"/>
  <c r="BA73" i="1" s="1"/>
  <c r="AE47" i="1"/>
  <c r="AE15" i="1"/>
  <c r="AE71" i="1"/>
  <c r="AE20" i="1"/>
  <c r="AE70" i="1"/>
  <c r="AE19" i="1"/>
  <c r="AF70" i="1"/>
  <c r="BA70" i="1" s="1"/>
  <c r="AE69" i="1"/>
  <c r="AE72" i="1"/>
  <c r="AE17" i="1"/>
  <c r="AH70" i="1"/>
  <c r="AG19" i="1"/>
  <c r="BB19" i="1" s="1"/>
  <c r="AH19" i="1"/>
  <c r="BC19" i="1" s="1"/>
  <c r="AG73" i="1"/>
  <c r="BB73" i="1" s="1"/>
  <c r="AF15" i="1"/>
  <c r="BA15" i="1" s="1"/>
  <c r="AF71" i="1"/>
  <c r="BA71" i="1" s="1"/>
  <c r="AH73" i="1"/>
  <c r="AG15" i="1"/>
  <c r="BB15" i="1" s="1"/>
  <c r="AF47" i="1"/>
  <c r="BA47" i="1" s="1"/>
  <c r="AG71" i="1"/>
  <c r="BB71" i="1" s="1"/>
  <c r="AH15" i="1"/>
  <c r="AF20" i="1"/>
  <c r="BA20" i="1" s="1"/>
  <c r="AG47" i="1"/>
  <c r="BB47" i="1" s="1"/>
  <c r="AH71" i="1"/>
  <c r="AG20" i="1"/>
  <c r="BB20" i="1" s="1"/>
  <c r="AH47" i="1"/>
  <c r="AF69" i="1"/>
  <c r="BA69" i="1" s="1"/>
  <c r="AF17" i="1"/>
  <c r="BA17" i="1" s="1"/>
  <c r="AH20" i="1"/>
  <c r="AG69" i="1"/>
  <c r="BB69" i="1" s="1"/>
  <c r="AG17" i="1"/>
  <c r="BB17" i="1" s="1"/>
  <c r="AH69" i="1"/>
  <c r="AF72" i="1"/>
  <c r="BA72" i="1" s="1"/>
  <c r="AF11" i="1"/>
  <c r="BA11" i="1" s="1"/>
  <c r="AH17" i="1"/>
  <c r="AG72" i="1"/>
  <c r="BB72" i="1" s="1"/>
  <c r="AG11" i="1"/>
  <c r="BB11" i="1" s="1"/>
  <c r="AH72" i="1"/>
  <c r="W70" i="1"/>
  <c r="U66" i="1"/>
  <c r="U14" i="1"/>
  <c r="U99" i="4"/>
  <c r="T99" i="4"/>
  <c r="S99" i="4"/>
  <c r="W93" i="4"/>
  <c r="F22" i="8" l="1"/>
  <c r="E22" i="8" s="1"/>
  <c r="F23" i="8"/>
  <c r="E23" i="8" s="1"/>
  <c r="F33" i="8"/>
  <c r="E33" i="8" s="1"/>
  <c r="F24" i="8"/>
  <c r="E24" i="8" s="1"/>
  <c r="F28" i="8"/>
  <c r="E28" i="8" s="1"/>
  <c r="F27" i="8"/>
  <c r="E27" i="8" s="1"/>
  <c r="F25" i="8"/>
  <c r="E25" i="8" s="1"/>
  <c r="F26" i="8"/>
  <c r="E26" i="8" s="1"/>
  <c r="W96" i="4"/>
  <c r="Z96" i="4"/>
  <c r="Z94" i="4"/>
  <c r="Z95" i="4"/>
  <c r="AD72" i="1"/>
  <c r="AY72" i="1" s="1"/>
  <c r="AZ72" i="1"/>
  <c r="AI69" i="1"/>
  <c r="BC69" i="1"/>
  <c r="AD71" i="1"/>
  <c r="AY71" i="1" s="1"/>
  <c r="AZ71" i="1"/>
  <c r="AI73" i="1"/>
  <c r="BC73" i="1"/>
  <c r="AI72" i="1"/>
  <c r="BC72" i="1"/>
  <c r="AI71" i="1"/>
  <c r="BC71" i="1"/>
  <c r="AD73" i="1"/>
  <c r="AY73" i="1" s="1"/>
  <c r="AZ73" i="1"/>
  <c r="AD69" i="1"/>
  <c r="AY69" i="1" s="1"/>
  <c r="AZ69" i="1"/>
  <c r="AD70" i="1"/>
  <c r="AY70" i="1" s="1"/>
  <c r="AZ70" i="1"/>
  <c r="AI70" i="1"/>
  <c r="BC70" i="1"/>
  <c r="AD17" i="1"/>
  <c r="AY17" i="1" s="1"/>
  <c r="AZ17" i="1"/>
  <c r="AD19" i="1"/>
  <c r="AY19" i="1" s="1"/>
  <c r="AZ19" i="1"/>
  <c r="AI20" i="1"/>
  <c r="BC20" i="1"/>
  <c r="AI47" i="1"/>
  <c r="BC47" i="1"/>
  <c r="AK15" i="1"/>
  <c r="AZ15" i="1"/>
  <c r="AJ11" i="1"/>
  <c r="BE11" i="1" s="1"/>
  <c r="BD11" i="1"/>
  <c r="AD47" i="1"/>
  <c r="AY47" i="1" s="1"/>
  <c r="AZ47" i="1"/>
  <c r="AI15" i="1"/>
  <c r="BC15" i="1"/>
  <c r="AD20" i="1"/>
  <c r="AY20" i="1" s="1"/>
  <c r="AZ20" i="1"/>
  <c r="AI17" i="1"/>
  <c r="BC17" i="1"/>
  <c r="AF21" i="1"/>
  <c r="BA21" i="1" s="1"/>
  <c r="W81" i="1"/>
  <c r="AJ65" i="1"/>
  <c r="BE65" i="1" s="1"/>
  <c r="AE64" i="1"/>
  <c r="AZ64" i="1" s="1"/>
  <c r="AG62" i="1"/>
  <c r="BB62" i="1" s="1"/>
  <c r="AI60" i="1"/>
  <c r="AK65" i="1"/>
  <c r="BF65" i="1" s="1"/>
  <c r="AG65" i="1"/>
  <c r="BB65" i="1" s="1"/>
  <c r="AI63" i="1"/>
  <c r="BD63" i="1" s="1"/>
  <c r="AD62" i="1"/>
  <c r="AY62" i="1" s="1"/>
  <c r="AF60" i="1"/>
  <c r="AD63" i="1"/>
  <c r="AY63" i="1" s="1"/>
  <c r="AI65" i="1"/>
  <c r="BD65" i="1" s="1"/>
  <c r="AD64" i="1"/>
  <c r="AY64" i="1" s="1"/>
  <c r="AF62" i="1"/>
  <c r="BA62" i="1" s="1"/>
  <c r="AH60" i="1"/>
  <c r="AL65" i="1"/>
  <c r="BG65" i="1" s="1"/>
  <c r="AH65" i="1"/>
  <c r="BC65" i="1" s="1"/>
  <c r="AJ63" i="1"/>
  <c r="BE63" i="1" s="1"/>
  <c r="AE62" i="1"/>
  <c r="AZ62" i="1" s="1"/>
  <c r="AG60" i="1"/>
  <c r="AJ64" i="1"/>
  <c r="BE64" i="1" s="1"/>
  <c r="AG61" i="1"/>
  <c r="BB61" i="1" s="1"/>
  <c r="AI64" i="1"/>
  <c r="BD64" i="1" s="1"/>
  <c r="AF61" i="1"/>
  <c r="BA61" i="1" s="1"/>
  <c r="AH64" i="1"/>
  <c r="BC64" i="1" s="1"/>
  <c r="AE61" i="1"/>
  <c r="AZ61" i="1" s="1"/>
  <c r="AE66" i="1"/>
  <c r="AI62" i="1"/>
  <c r="BD62" i="1" s="1"/>
  <c r="AD66" i="1"/>
  <c r="AH62" i="1"/>
  <c r="BC62" i="1" s="1"/>
  <c r="AK64" i="1"/>
  <c r="BF64" i="1" s="1"/>
  <c r="AF65" i="1"/>
  <c r="BA65" i="1" s="1"/>
  <c r="AH63" i="1"/>
  <c r="BC63" i="1" s="1"/>
  <c r="AJ61" i="1"/>
  <c r="BE61" i="1" s="1"/>
  <c r="AE60" i="1"/>
  <c r="AJ66" i="1"/>
  <c r="AE65" i="1"/>
  <c r="AZ65" i="1" s="1"/>
  <c r="AG63" i="1"/>
  <c r="BB63" i="1" s="1"/>
  <c r="AI61" i="1"/>
  <c r="BD61" i="1" s="1"/>
  <c r="AD60" i="1"/>
  <c r="AI66" i="1"/>
  <c r="AD65" i="1"/>
  <c r="AY65" i="1" s="1"/>
  <c r="AF63" i="1"/>
  <c r="BA63" i="1" s="1"/>
  <c r="AH61" i="1"/>
  <c r="BC61" i="1" s="1"/>
  <c r="AH66" i="1"/>
  <c r="AE63" i="1"/>
  <c r="AZ63" i="1" s="1"/>
  <c r="AG66" i="1"/>
  <c r="AF66" i="1"/>
  <c r="AJ62" i="1"/>
  <c r="BE62" i="1" s="1"/>
  <c r="AG64" i="1"/>
  <c r="BB64" i="1" s="1"/>
  <c r="AD61" i="1"/>
  <c r="AY61" i="1" s="1"/>
  <c r="AF64" i="1"/>
  <c r="BA64" i="1" s="1"/>
  <c r="AJ60" i="1"/>
  <c r="AD15" i="1"/>
  <c r="AY15" i="1" s="1"/>
  <c r="AE21" i="1"/>
  <c r="AK17" i="1"/>
  <c r="AE74" i="1"/>
  <c r="AZ74" i="1" s="1"/>
  <c r="AK11" i="1"/>
  <c r="AD11" i="1"/>
  <c r="AY11" i="1" s="1"/>
  <c r="AF74" i="1"/>
  <c r="BA74" i="1" s="1"/>
  <c r="AG74" i="1"/>
  <c r="BB74" i="1" s="1"/>
  <c r="AG21" i="1"/>
  <c r="BB21" i="1" s="1"/>
  <c r="AI19" i="1"/>
  <c r="BD19" i="1" s="1"/>
  <c r="AH21" i="1"/>
  <c r="BC21" i="1" s="1"/>
  <c r="AH74" i="1"/>
  <c r="BC74" i="1" s="1"/>
  <c r="W94" i="4"/>
  <c r="W95" i="4"/>
  <c r="AD74" i="1" l="1"/>
  <c r="AY74" i="1" s="1"/>
  <c r="AI74" i="1"/>
  <c r="BD74" i="1" s="1"/>
  <c r="AJ72" i="1"/>
  <c r="BE72" i="1" s="1"/>
  <c r="BD72" i="1"/>
  <c r="AJ71" i="1"/>
  <c r="BE71" i="1" s="1"/>
  <c r="BD71" i="1"/>
  <c r="AJ69" i="1"/>
  <c r="BD69" i="1"/>
  <c r="AJ70" i="1"/>
  <c r="BE70" i="1" s="1"/>
  <c r="BD70" i="1"/>
  <c r="AJ73" i="1"/>
  <c r="BE73" i="1" s="1"/>
  <c r="BD73" i="1"/>
  <c r="AF35" i="1"/>
  <c r="BA35" i="1" s="1"/>
  <c r="BA66" i="1"/>
  <c r="AJ35" i="1"/>
  <c r="BE35" i="1" s="1"/>
  <c r="BE66" i="1"/>
  <c r="AF49" i="1"/>
  <c r="BA49" i="1" s="1"/>
  <c r="BA60" i="1"/>
  <c r="AJ17" i="1"/>
  <c r="BE17" i="1" s="1"/>
  <c r="BD17" i="1"/>
  <c r="AH35" i="1"/>
  <c r="BC35" i="1" s="1"/>
  <c r="BC66" i="1"/>
  <c r="AG49" i="1"/>
  <c r="BB49" i="1" s="1"/>
  <c r="BB60" i="1"/>
  <c r="AJ20" i="1"/>
  <c r="BE20" i="1" s="1"/>
  <c r="BD20" i="1"/>
  <c r="AD21" i="1"/>
  <c r="AY21" i="1" s="1"/>
  <c r="AJ15" i="1"/>
  <c r="BE15" i="1" s="1"/>
  <c r="BD15" i="1"/>
  <c r="AD49" i="1"/>
  <c r="AY60" i="1"/>
  <c r="AE35" i="1"/>
  <c r="AZ66" i="1"/>
  <c r="AH49" i="1"/>
  <c r="BC49" i="1" s="1"/>
  <c r="BC60" i="1"/>
  <c r="AG35" i="1"/>
  <c r="BB35" i="1" s="1"/>
  <c r="BB66" i="1"/>
  <c r="AE49" i="1"/>
  <c r="AZ49" i="1" s="1"/>
  <c r="AZ60" i="1"/>
  <c r="AJ47" i="1"/>
  <c r="BE47" i="1" s="1"/>
  <c r="BD47" i="1"/>
  <c r="AK21" i="1"/>
  <c r="AZ21" i="1"/>
  <c r="BF21" i="1" s="1"/>
  <c r="AJ49" i="1"/>
  <c r="BE49" i="1" s="1"/>
  <c r="BE60" i="1"/>
  <c r="AI35" i="1"/>
  <c r="BD35" i="1" s="1"/>
  <c r="BD66" i="1"/>
  <c r="AD35" i="1"/>
  <c r="AY35" i="1" s="1"/>
  <c r="AY66" i="1"/>
  <c r="AI49" i="1"/>
  <c r="BD49" i="1" s="1"/>
  <c r="BD60" i="1"/>
  <c r="BF11" i="1"/>
  <c r="BF15" i="1"/>
  <c r="BF17" i="1"/>
  <c r="AF75" i="1"/>
  <c r="AG75" i="1"/>
  <c r="AH75" i="1"/>
  <c r="AJ19" i="1"/>
  <c r="AI21" i="1"/>
  <c r="BD21" i="1" s="1"/>
  <c r="Z74" i="1"/>
  <c r="Z85" i="1" s="1"/>
  <c r="U72" i="1"/>
  <c r="U83" i="1" s="1"/>
  <c r="U71" i="1"/>
  <c r="U82" i="1" s="1"/>
  <c r="U70" i="1"/>
  <c r="U81" i="1" s="1"/>
  <c r="V75" i="1"/>
  <c r="V86" i="1" s="1"/>
  <c r="U75" i="1"/>
  <c r="U86" i="1" s="1"/>
  <c r="Y70" i="1"/>
  <c r="X70" i="1"/>
  <c r="V72" i="1" s="1"/>
  <c r="W72" i="1"/>
  <c r="W71" i="1"/>
  <c r="V70" i="1"/>
  <c r="V81" i="1" s="1"/>
  <c r="X67" i="1"/>
  <c r="U12" i="1"/>
  <c r="M54" i="4"/>
  <c r="M55" i="4"/>
  <c r="M56" i="4"/>
  <c r="M57" i="4"/>
  <c r="M58" i="4"/>
  <c r="M31" i="4"/>
  <c r="M32" i="4"/>
  <c r="M33" i="4"/>
  <c r="M34" i="4"/>
  <c r="M35" i="4"/>
  <c r="M14" i="4"/>
  <c r="M15" i="4"/>
  <c r="M16" i="4"/>
  <c r="M17" i="4"/>
  <c r="M18" i="4"/>
  <c r="M19" i="4"/>
  <c r="N19" i="4" s="1"/>
  <c r="M13" i="4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64" i="5"/>
  <c r="O64" i="2"/>
  <c r="X37" i="1"/>
  <c r="V57" i="1" s="1"/>
  <c r="AI75" i="1" l="1"/>
  <c r="BD75" i="1" s="1"/>
  <c r="AE75" i="1"/>
  <c r="AE50" i="1" s="1"/>
  <c r="AZ50" i="1" s="1"/>
  <c r="AG50" i="1"/>
  <c r="BB50" i="1" s="1"/>
  <c r="BB75" i="1"/>
  <c r="BE69" i="1"/>
  <c r="AJ74" i="1"/>
  <c r="AF50" i="1"/>
  <c r="BA50" i="1" s="1"/>
  <c r="BA75" i="1"/>
  <c r="AH50" i="1"/>
  <c r="BC50" i="1" s="1"/>
  <c r="BC75" i="1"/>
  <c r="AJ21" i="1"/>
  <c r="BE21" i="1" s="1"/>
  <c r="BE19" i="1"/>
  <c r="AD51" i="1"/>
  <c r="AY49" i="1"/>
  <c r="AK35" i="1"/>
  <c r="AZ35" i="1"/>
  <c r="BF35" i="1" s="1"/>
  <c r="W82" i="1"/>
  <c r="W83" i="1"/>
  <c r="Y81" i="1"/>
  <c r="AG10" i="1"/>
  <c r="BB10" i="1" s="1"/>
  <c r="AI10" i="1"/>
  <c r="BD10" i="1" s="1"/>
  <c r="AE10" i="1"/>
  <c r="AF10" i="1"/>
  <c r="BA10" i="1" s="1"/>
  <c r="AH10" i="1"/>
  <c r="BC10" i="1" s="1"/>
  <c r="Z12" i="1"/>
  <c r="AA12" i="1" s="1"/>
  <c r="V71" i="1"/>
  <c r="X81" i="1"/>
  <c r="V58" i="1"/>
  <c r="U49" i="1" s="1"/>
  <c r="Z70" i="1"/>
  <c r="V83" i="1"/>
  <c r="Y49" i="1"/>
  <c r="Z49" i="1" s="1"/>
  <c r="Y46" i="1"/>
  <c r="Z46" i="1" s="1"/>
  <c r="Y45" i="1"/>
  <c r="Z45" i="1" s="1"/>
  <c r="Y44" i="1"/>
  <c r="Z44" i="1" s="1"/>
  <c r="Y43" i="1"/>
  <c r="Z43" i="1" s="1"/>
  <c r="R91" i="4"/>
  <c r="R89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0" i="4"/>
  <c r="R67" i="4"/>
  <c r="R62" i="4"/>
  <c r="O62" i="4"/>
  <c r="V82" i="1" l="1"/>
  <c r="Z71" i="1"/>
  <c r="AI50" i="1"/>
  <c r="BD50" i="1" s="1"/>
  <c r="AZ75" i="1"/>
  <c r="BE74" i="1"/>
  <c r="AJ75" i="1"/>
  <c r="AD10" i="1"/>
  <c r="AY10" i="1" s="1"/>
  <c r="AZ10" i="1"/>
  <c r="BF10" i="1" s="1"/>
  <c r="AD36" i="1"/>
  <c r="AY36" i="1" s="1"/>
  <c r="AY51" i="1"/>
  <c r="Z81" i="1"/>
  <c r="AA71" i="1"/>
  <c r="AA82" i="1" s="1"/>
  <c r="Y48" i="1"/>
  <c r="Y47" i="1"/>
  <c r="Z10" i="1"/>
  <c r="X5" i="1"/>
  <c r="W5" i="1"/>
  <c r="X4" i="1"/>
  <c r="X7" i="1" s="1"/>
  <c r="W4" i="1"/>
  <c r="T12" i="1" s="1"/>
  <c r="AD7" i="1" s="1"/>
  <c r="AY7" i="1" s="1"/>
  <c r="Z13" i="1"/>
  <c r="AA13" i="1" s="1"/>
  <c r="Z14" i="1"/>
  <c r="AA14" i="1" s="1"/>
  <c r="Z15" i="1"/>
  <c r="M12" i="4"/>
  <c r="N12" i="4" s="1"/>
  <c r="AJ50" i="1" l="1"/>
  <c r="BE50" i="1" s="1"/>
  <c r="BE75" i="1"/>
  <c r="Z82" i="1"/>
  <c r="AA15" i="1"/>
  <c r="Z16" i="1"/>
  <c r="AJ27" i="1" s="1"/>
  <c r="BE27" i="1" s="1"/>
  <c r="Z47" i="1"/>
  <c r="Z17" i="1"/>
  <c r="AJ29" i="1" s="1"/>
  <c r="Z48" i="1"/>
  <c r="AD55" i="1"/>
  <c r="AY55" i="1" s="1"/>
  <c r="AD4" i="1"/>
  <c r="AY4" i="1" s="1"/>
  <c r="AD8" i="1"/>
  <c r="AY8" i="1" s="1"/>
  <c r="AY77" i="1" s="1"/>
  <c r="V12" i="1"/>
  <c r="V13" i="1"/>
  <c r="T14" i="1"/>
  <c r="T66" i="1"/>
  <c r="X75" i="1" s="1"/>
  <c r="M29" i="4"/>
  <c r="M62" i="4"/>
  <c r="L62" i="4"/>
  <c r="M91" i="4"/>
  <c r="L91" i="4"/>
  <c r="M90" i="4"/>
  <c r="L90" i="4"/>
  <c r="M89" i="4"/>
  <c r="L89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L77" i="4"/>
  <c r="L76" i="4"/>
  <c r="M75" i="4"/>
  <c r="L75" i="4"/>
  <c r="M74" i="4"/>
  <c r="L74" i="4"/>
  <c r="M73" i="4"/>
  <c r="L73" i="4"/>
  <c r="M72" i="4"/>
  <c r="L72" i="4"/>
  <c r="M71" i="4"/>
  <c r="M70" i="4"/>
  <c r="L70" i="4"/>
  <c r="M69" i="4"/>
  <c r="L69" i="4"/>
  <c r="M68" i="4"/>
  <c r="L68" i="4"/>
  <c r="M67" i="4"/>
  <c r="L67" i="4"/>
  <c r="L66" i="4"/>
  <c r="M65" i="4"/>
  <c r="L65" i="4"/>
  <c r="M64" i="4"/>
  <c r="L64" i="4"/>
  <c r="AD29" i="1" l="1"/>
  <c r="AE29" i="1"/>
  <c r="AK29" i="1" s="1"/>
  <c r="AF27" i="1"/>
  <c r="BA27" i="1" s="1"/>
  <c r="AH27" i="1"/>
  <c r="BC27" i="1" s="1"/>
  <c r="AI27" i="1"/>
  <c r="BD27" i="1" s="1"/>
  <c r="AA16" i="1"/>
  <c r="AG27" i="1"/>
  <c r="BB27" i="1" s="1"/>
  <c r="AD27" i="1"/>
  <c r="AY27" i="1" s="1"/>
  <c r="AE27" i="1"/>
  <c r="AE4" i="1"/>
  <c r="AA17" i="1"/>
  <c r="BF29" i="1"/>
  <c r="AF29" i="1"/>
  <c r="AG29" i="1"/>
  <c r="AH29" i="1"/>
  <c r="Z51" i="1"/>
  <c r="AI29" i="1"/>
  <c r="AD44" i="1"/>
  <c r="AY44" i="1" s="1"/>
  <c r="AD16" i="1"/>
  <c r="AY16" i="1" s="1"/>
  <c r="AD22" i="1"/>
  <c r="AY22" i="1" s="1"/>
  <c r="AD18" i="1"/>
  <c r="AY18" i="1" s="1"/>
  <c r="AD13" i="1"/>
  <c r="AY13" i="1" s="1"/>
  <c r="AD33" i="1"/>
  <c r="AY33" i="1" s="1"/>
  <c r="AD77" i="1"/>
  <c r="AD39" i="1"/>
  <c r="AY39" i="1" s="1"/>
  <c r="AD25" i="1"/>
  <c r="AY25" i="1" s="1"/>
  <c r="AD28" i="1"/>
  <c r="AY28" i="1" s="1"/>
  <c r="AD30" i="1"/>
  <c r="AY30" i="1" s="1"/>
  <c r="W75" i="1"/>
  <c r="W86" i="1" s="1"/>
  <c r="X86" i="1"/>
  <c r="M59" i="4"/>
  <c r="L92" i="4"/>
  <c r="M92" i="4"/>
  <c r="AE7" i="1" l="1"/>
  <c r="AZ4" i="1"/>
  <c r="AK27" i="1"/>
  <c r="AZ27" i="1"/>
  <c r="BF27" i="1" s="1"/>
  <c r="AF4" i="1"/>
  <c r="BA4" i="1" s="1"/>
  <c r="AA75" i="1"/>
  <c r="AA86" i="1" s="1"/>
  <c r="Z75" i="1"/>
  <c r="Z86" i="1" s="1"/>
  <c r="X72" i="1"/>
  <c r="Z72" i="1" s="1"/>
  <c r="R71" i="4"/>
  <c r="R69" i="4"/>
  <c r="AG4" i="1" l="1"/>
  <c r="BB4" i="1" s="1"/>
  <c r="AF7" i="1"/>
  <c r="AF8" i="1" s="1"/>
  <c r="AE8" i="1"/>
  <c r="AZ7" i="1"/>
  <c r="X83" i="1"/>
  <c r="AA72" i="1"/>
  <c r="AA83" i="1" s="1"/>
  <c r="AG7" i="1" l="1"/>
  <c r="AG8" i="1" s="1"/>
  <c r="BB8" i="1" s="1"/>
  <c r="AH4" i="1"/>
  <c r="BC4" i="1" s="1"/>
  <c r="BA8" i="1"/>
  <c r="BA77" i="1" s="1"/>
  <c r="AF16" i="1"/>
  <c r="BA16" i="1" s="1"/>
  <c r="AF18" i="1"/>
  <c r="BA18" i="1" s="1"/>
  <c r="AF28" i="1"/>
  <c r="BA28" i="1" s="1"/>
  <c r="BA7" i="1"/>
  <c r="AZ8" i="1"/>
  <c r="AE30" i="1"/>
  <c r="AZ30" i="1" s="1"/>
  <c r="AK8" i="1"/>
  <c r="AE28" i="1"/>
  <c r="AZ28" i="1" s="1"/>
  <c r="AE22" i="1"/>
  <c r="AZ22" i="1" s="1"/>
  <c r="AE18" i="1"/>
  <c r="AZ18" i="1" s="1"/>
  <c r="AE16" i="1"/>
  <c r="AZ16" i="1" s="1"/>
  <c r="AE77" i="1"/>
  <c r="AF30" i="1"/>
  <c r="BA30" i="1" s="1"/>
  <c r="AF77" i="1"/>
  <c r="AF22" i="1"/>
  <c r="BA22" i="1" s="1"/>
  <c r="Z83" i="1"/>
  <c r="Z18" i="1"/>
  <c r="Y51" i="1"/>
  <c r="R88" i="4"/>
  <c r="BB7" i="1" l="1"/>
  <c r="AI4" i="1"/>
  <c r="BD4" i="1" s="1"/>
  <c r="AH7" i="1"/>
  <c r="AH8" i="1" s="1"/>
  <c r="BC8" i="1" s="1"/>
  <c r="AG22" i="1"/>
  <c r="BB22" i="1" s="1"/>
  <c r="AG30" i="1"/>
  <c r="BB30" i="1" s="1"/>
  <c r="AG77" i="1"/>
  <c r="AG16" i="1"/>
  <c r="BB16" i="1" s="1"/>
  <c r="AG28" i="1"/>
  <c r="BB28" i="1" s="1"/>
  <c r="AG18" i="1"/>
  <c r="BB18" i="1" s="1"/>
  <c r="BF8" i="1"/>
  <c r="AZ77" i="1"/>
  <c r="BB77" i="1"/>
  <c r="V16" i="1"/>
  <c r="AA18" i="1"/>
  <c r="R66" i="4"/>
  <c r="R90" i="4"/>
  <c r="R68" i="4"/>
  <c r="R65" i="4"/>
  <c r="R64" i="4"/>
  <c r="BC7" i="1" l="1"/>
  <c r="AI7" i="1"/>
  <c r="AI8" i="1" s="1"/>
  <c r="AJ4" i="1"/>
  <c r="AJ7" i="1" s="1"/>
  <c r="AH18" i="1"/>
  <c r="BC18" i="1" s="1"/>
  <c r="AH22" i="1"/>
  <c r="BC22" i="1" s="1"/>
  <c r="AH16" i="1"/>
  <c r="BC16" i="1" s="1"/>
  <c r="AH28" i="1"/>
  <c r="BC28" i="1" s="1"/>
  <c r="AH77" i="1"/>
  <c r="AH30" i="1"/>
  <c r="BC30" i="1" s="1"/>
  <c r="BC77" i="1"/>
  <c r="V59" i="1"/>
  <c r="BE4" i="1" l="1"/>
  <c r="BD8" i="1"/>
  <c r="BD77" i="1" s="1"/>
  <c r="AI28" i="1"/>
  <c r="BD28" i="1" s="1"/>
  <c r="BD7" i="1"/>
  <c r="AI18" i="1"/>
  <c r="BD18" i="1" s="1"/>
  <c r="AI16" i="1"/>
  <c r="BD16" i="1" s="1"/>
  <c r="AI30" i="1"/>
  <c r="BD30" i="1" s="1"/>
  <c r="AI77" i="1"/>
  <c r="AI22" i="1"/>
  <c r="BD22" i="1" s="1"/>
  <c r="AJ8" i="1"/>
  <c r="BE7" i="1"/>
  <c r="AD12" i="1"/>
  <c r="AY12" i="1" s="1"/>
  <c r="AD24" i="1"/>
  <c r="AE24" i="1"/>
  <c r="AG24" i="1"/>
  <c r="AH24" i="1"/>
  <c r="AI24" i="1"/>
  <c r="AK10" i="1"/>
  <c r="AE12" i="1"/>
  <c r="AZ12" i="1" s="1"/>
  <c r="AE13" i="1"/>
  <c r="AZ13" i="1" s="1"/>
  <c r="AF24" i="1"/>
  <c r="AI12" i="1"/>
  <c r="BD12" i="1" s="1"/>
  <c r="AI13" i="1"/>
  <c r="BD13" i="1" s="1"/>
  <c r="AH13" i="1"/>
  <c r="BC13" i="1" s="1"/>
  <c r="AH12" i="1"/>
  <c r="BC12" i="1" s="1"/>
  <c r="AG12" i="1"/>
  <c r="BB12" i="1" s="1"/>
  <c r="AG13" i="1"/>
  <c r="BB13" i="1" s="1"/>
  <c r="AF12" i="1"/>
  <c r="BA12" i="1" s="1"/>
  <c r="AJ10" i="1"/>
  <c r="AF13" i="1"/>
  <c r="BA13" i="1" s="1"/>
  <c r="AD32" i="1" l="1"/>
  <c r="AY24" i="1"/>
  <c r="AE25" i="1"/>
  <c r="AZ25" i="1" s="1"/>
  <c r="AZ24" i="1"/>
  <c r="BF24" i="1" s="1"/>
  <c r="AF32" i="1"/>
  <c r="BA32" i="1" s="1"/>
  <c r="BA24" i="1"/>
  <c r="AJ12" i="1"/>
  <c r="BE12" i="1" s="1"/>
  <c r="BE10" i="1"/>
  <c r="AI32" i="1"/>
  <c r="BD32" i="1" s="1"/>
  <c r="BD24" i="1"/>
  <c r="BE8" i="1"/>
  <c r="BE77" i="1" s="1"/>
  <c r="AJ18" i="1"/>
  <c r="BE18" i="1" s="1"/>
  <c r="AJ77" i="1"/>
  <c r="AJ33" i="1"/>
  <c r="BE33" i="1" s="1"/>
  <c r="AJ44" i="1"/>
  <c r="BE44" i="1" s="1"/>
  <c r="AJ28" i="1"/>
  <c r="BE28" i="1" s="1"/>
  <c r="AJ22" i="1"/>
  <c r="BE22" i="1" s="1"/>
  <c r="AJ25" i="1"/>
  <c r="BE25" i="1" s="1"/>
  <c r="AJ30" i="1"/>
  <c r="BE30" i="1" s="1"/>
  <c r="AJ16" i="1"/>
  <c r="BE16" i="1" s="1"/>
  <c r="AJ39" i="1"/>
  <c r="BE39" i="1" s="1"/>
  <c r="AJ13" i="1"/>
  <c r="BE13" i="1" s="1"/>
  <c r="AH25" i="1"/>
  <c r="BC25" i="1" s="1"/>
  <c r="BC24" i="1"/>
  <c r="AG32" i="1"/>
  <c r="BB32" i="1" s="1"/>
  <c r="BB24" i="1"/>
  <c r="AI25" i="1"/>
  <c r="BD25" i="1" s="1"/>
  <c r="AG25" i="1"/>
  <c r="BB25" i="1" s="1"/>
  <c r="AJ24" i="1"/>
  <c r="AF25" i="1"/>
  <c r="BA25" i="1" s="1"/>
  <c r="AK24" i="1"/>
  <c r="AE32" i="1"/>
  <c r="AZ32" i="1" s="1"/>
  <c r="BF32" i="1" s="1"/>
  <c r="AH32" i="1"/>
  <c r="BC32" i="1" s="1"/>
  <c r="AF33" i="1" l="1"/>
  <c r="BA33" i="1" s="1"/>
  <c r="AG33" i="1"/>
  <c r="BB33" i="1" s="1"/>
  <c r="AJ32" i="1"/>
  <c r="BE32" i="1" s="1"/>
  <c r="BE24" i="1"/>
  <c r="AI33" i="1"/>
  <c r="BD33" i="1" s="1"/>
  <c r="AD38" i="1"/>
  <c r="AY32" i="1"/>
  <c r="AE33" i="1"/>
  <c r="AZ33" i="1" s="1"/>
  <c r="AK32" i="1"/>
  <c r="AH33" i="1"/>
  <c r="BC33" i="1" s="1"/>
  <c r="AY38" i="1" l="1"/>
  <c r="AD41" i="1"/>
  <c r="AD48" i="1" l="1"/>
  <c r="AY41" i="1"/>
  <c r="AY43" i="1" s="1"/>
  <c r="AD43" i="1"/>
  <c r="AD53" i="1" l="1"/>
  <c r="AY48" i="1"/>
  <c r="AD54" i="1" l="1"/>
  <c r="AY53" i="1"/>
  <c r="AY54" i="1" l="1"/>
  <c r="AE51" i="1"/>
  <c r="AE36" i="1" l="1"/>
  <c r="AZ51" i="1"/>
  <c r="AZ36" i="1" l="1"/>
  <c r="BF36" i="1" s="1"/>
  <c r="AK36" i="1"/>
  <c r="AE38" i="1"/>
  <c r="AZ38" i="1" l="1"/>
  <c r="AE41" i="1"/>
  <c r="AK38" i="1"/>
  <c r="AE39" i="1"/>
  <c r="AZ39" i="1" s="1"/>
  <c r="AE43" i="1" l="1"/>
  <c r="AZ41" i="1"/>
  <c r="BF41" i="1" s="1"/>
  <c r="AE48" i="1"/>
  <c r="AE52" i="1" s="1"/>
  <c r="AZ52" i="1" s="1"/>
  <c r="AK41" i="1"/>
  <c r="BF38" i="1"/>
  <c r="AZ43" i="1" l="1"/>
  <c r="BF43" i="1" s="1"/>
  <c r="AE53" i="1"/>
  <c r="AZ48" i="1"/>
  <c r="AK43" i="1"/>
  <c r="AE44" i="1"/>
  <c r="AZ44" i="1" s="1"/>
  <c r="AE54" i="1" l="1"/>
  <c r="AZ53" i="1"/>
  <c r="AZ54" i="1" l="1"/>
  <c r="AF51" i="1"/>
  <c r="AF36" i="1" l="1"/>
  <c r="BA51" i="1"/>
  <c r="AF38" i="1" l="1"/>
  <c r="BA36" i="1"/>
  <c r="BA38" i="1" l="1"/>
  <c r="AF41" i="1"/>
  <c r="AF43" i="1" s="1"/>
  <c r="AF44" i="1" s="1"/>
  <c r="BA44" i="1" s="1"/>
  <c r="AF39" i="1"/>
  <c r="BA39" i="1" s="1"/>
  <c r="AF48" i="1" l="1"/>
  <c r="BA41" i="1"/>
  <c r="BA43" i="1" s="1"/>
  <c r="BA48" i="1" l="1"/>
  <c r="AF52" i="1"/>
  <c r="AF53" i="1" l="1"/>
  <c r="BA52" i="1"/>
  <c r="AF54" i="1" l="1"/>
  <c r="BA53" i="1"/>
  <c r="BA54" i="1" l="1"/>
  <c r="AG51" i="1"/>
  <c r="AG36" i="1" l="1"/>
  <c r="BB51" i="1"/>
  <c r="AG38" i="1" l="1"/>
  <c r="BB36" i="1"/>
  <c r="BB38" i="1" l="1"/>
  <c r="AG41" i="1"/>
  <c r="AG43" i="1" s="1"/>
  <c r="AG44" i="1" s="1"/>
  <c r="BB44" i="1" s="1"/>
  <c r="AG39" i="1"/>
  <c r="BB39" i="1" s="1"/>
  <c r="AG48" i="1" l="1"/>
  <c r="BB41" i="1"/>
  <c r="BB43" i="1" s="1"/>
  <c r="BB48" i="1" l="1"/>
  <c r="AG52" i="1"/>
  <c r="AG53" i="1" l="1"/>
  <c r="BB52" i="1"/>
  <c r="AG54" i="1" l="1"/>
  <c r="BB53" i="1"/>
  <c r="BB54" i="1" l="1"/>
  <c r="AH51" i="1"/>
  <c r="AH36" i="1" l="1"/>
  <c r="BC51" i="1"/>
  <c r="AH38" i="1" l="1"/>
  <c r="BC36" i="1"/>
  <c r="BC38" i="1" l="1"/>
  <c r="AH41" i="1"/>
  <c r="AH43" i="1" s="1"/>
  <c r="AH44" i="1" s="1"/>
  <c r="BC44" i="1" s="1"/>
  <c r="AH39" i="1"/>
  <c r="BC39" i="1" s="1"/>
  <c r="AH48" i="1" l="1"/>
  <c r="BC41" i="1"/>
  <c r="BC43" i="1" s="1"/>
  <c r="BC48" i="1" l="1"/>
  <c r="AH52" i="1"/>
  <c r="AH53" i="1" l="1"/>
  <c r="BC52" i="1"/>
  <c r="AH54" i="1" l="1"/>
  <c r="BC53" i="1"/>
  <c r="BC54" i="1" l="1"/>
  <c r="AI51" i="1"/>
  <c r="AI36" i="1" l="1"/>
  <c r="BD51" i="1"/>
  <c r="AI38" i="1" l="1"/>
  <c r="BD36" i="1"/>
  <c r="BD38" i="1" l="1"/>
  <c r="AI41" i="1"/>
  <c r="AI43" i="1" s="1"/>
  <c r="AI44" i="1" s="1"/>
  <c r="BD44" i="1" s="1"/>
  <c r="AI39" i="1"/>
  <c r="BD39" i="1" s="1"/>
  <c r="AI48" i="1" l="1"/>
  <c r="BD41" i="1"/>
  <c r="BD43" i="1" s="1"/>
  <c r="BD48" i="1" l="1"/>
  <c r="AI52" i="1"/>
  <c r="AI53" i="1" l="1"/>
  <c r="BD52" i="1"/>
  <c r="AI54" i="1" l="1"/>
  <c r="BD53" i="1"/>
  <c r="BD54" i="1" l="1"/>
  <c r="AJ51" i="1"/>
  <c r="AJ36" i="1" l="1"/>
  <c r="BE51" i="1"/>
  <c r="AJ38" i="1" l="1"/>
  <c r="BE36" i="1"/>
  <c r="BE38" i="1" l="1"/>
  <c r="AJ41" i="1"/>
  <c r="AJ43" i="1" s="1"/>
  <c r="AJ48" i="1" l="1"/>
  <c r="BE41" i="1"/>
  <c r="BE43" i="1" s="1"/>
  <c r="BE48" i="1" l="1"/>
  <c r="AJ52" i="1"/>
  <c r="AJ53" i="1" l="1"/>
  <c r="BE52" i="1"/>
  <c r="AJ54" i="1" l="1"/>
  <c r="BE54" i="1" s="1"/>
  <c r="BE53" i="1"/>
  <c r="N17" i="4" l="1"/>
  <c r="N16" i="4" l="1"/>
  <c r="N15" i="4"/>
  <c r="N18" i="4"/>
  <c r="N14" i="4"/>
  <c r="N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<sst xmlns="http://schemas.openxmlformats.org/spreadsheetml/2006/main" count="1428" uniqueCount="661">
  <si>
    <t xml:space="preserve">Requester </t>
  </si>
  <si>
    <t>Mark Z.</t>
  </si>
  <si>
    <t>RFQ DATA - Costing process</t>
  </si>
  <si>
    <t>RFQ#</t>
  </si>
  <si>
    <t>25626-BRU-00</t>
  </si>
  <si>
    <t xml:space="preserve">Sales has provided the following information </t>
  </si>
  <si>
    <t xml:space="preserve">Costing leader </t>
  </si>
  <si>
    <t>FRANCIS</t>
  </si>
  <si>
    <t>Project</t>
  </si>
  <si>
    <t>Riyong/RY5.578.100A</t>
  </si>
  <si>
    <t xml:space="preserve">Type of product line </t>
  </si>
  <si>
    <t>Brushes</t>
  </si>
  <si>
    <t xml:space="preserve">Customer Name </t>
  </si>
  <si>
    <t>Riyong</t>
  </si>
  <si>
    <t>Application</t>
  </si>
  <si>
    <t>HVAC blowers</t>
  </si>
  <si>
    <t xml:space="preserve">Customer location </t>
  </si>
  <si>
    <t>China</t>
  </si>
  <si>
    <t>Stategic segment ?</t>
  </si>
  <si>
    <t>YES</t>
  </si>
  <si>
    <t>Comfort &amp; Auxiliary motors</t>
  </si>
  <si>
    <t xml:space="preserve">Type of process </t>
  </si>
  <si>
    <t>B-Alt &amp; Auxilairy / t or a</t>
  </si>
  <si>
    <t xml:space="preserve">Customer area </t>
  </si>
  <si>
    <t>China + South pacific</t>
  </si>
  <si>
    <t>Zone</t>
  </si>
  <si>
    <t>Target price</t>
  </si>
  <si>
    <t>RMB</t>
  </si>
  <si>
    <t>in Currency of customer Area</t>
  </si>
  <si>
    <t>In Currency of AVO manufacturing plant</t>
  </si>
  <si>
    <t>Package volume</t>
  </si>
  <si>
    <t>exchange rate :</t>
  </si>
  <si>
    <t>RMBRMB</t>
  </si>
  <si>
    <t>We are selling in the expected currency, this is a good news</t>
  </si>
  <si>
    <t>Kparts</t>
  </si>
  <si>
    <t>SOP</t>
  </si>
  <si>
    <t>Years</t>
  </si>
  <si>
    <t xml:space="preserve">Business link </t>
  </si>
  <si>
    <t>Qty (Kp)</t>
  </si>
  <si>
    <t>of average yearly sales</t>
  </si>
  <si>
    <t>Productivity plan</t>
  </si>
  <si>
    <t>or</t>
  </si>
  <si>
    <t>kRMB</t>
  </si>
  <si>
    <t>to pay at tooling order</t>
  </si>
  <si>
    <t>Capacity to set up</t>
  </si>
  <si>
    <t>Definition of the manufacturing location</t>
  </si>
  <si>
    <t xml:space="preserve">    For </t>
  </si>
  <si>
    <t>the strategy for</t>
  </si>
  <si>
    <t xml:space="preserve">is to finish the product in </t>
  </si>
  <si>
    <t>Tianjin</t>
  </si>
  <si>
    <t xml:space="preserve">in zone </t>
  </si>
  <si>
    <t xml:space="preserve">    Because the delivery takes place in </t>
  </si>
  <si>
    <t>same</t>
  </si>
  <si>
    <t>zone, recommandation is</t>
  </si>
  <si>
    <t>DDP</t>
  </si>
  <si>
    <t xml:space="preserve">For this plant our normal terms of payment are </t>
  </si>
  <si>
    <t xml:space="preserve">days the plant invoices in </t>
  </si>
  <si>
    <t>payment term negociated (days)</t>
  </si>
  <si>
    <t>As delivery conditions quoted</t>
  </si>
  <si>
    <t>EXW</t>
  </si>
  <si>
    <t>we consider a customer pick up every</t>
  </si>
  <si>
    <t>EUR</t>
  </si>
  <si>
    <t>USD</t>
  </si>
  <si>
    <t>INR</t>
  </si>
  <si>
    <t>KWON</t>
  </si>
  <si>
    <t xml:space="preserve">we will keep a safety stock of </t>
  </si>
  <si>
    <t>days of averge customer forecast</t>
  </si>
  <si>
    <t xml:space="preserve">We consider that the leadtime within a the same zone is </t>
  </si>
  <si>
    <t>second currency :</t>
  </si>
  <si>
    <t>EURRMB</t>
  </si>
  <si>
    <t>INDEXATION  : Product includes…</t>
  </si>
  <si>
    <t xml:space="preserve">These parameters lead to the following levels of inventory </t>
  </si>
  <si>
    <t>Copper</t>
  </si>
  <si>
    <t>/kg</t>
  </si>
  <si>
    <t>Material cost only (LME)</t>
  </si>
  <si>
    <t>Semi-finished product in transit /AVOplants</t>
  </si>
  <si>
    <t>w days*</t>
  </si>
  <si>
    <t>Silver</t>
  </si>
  <si>
    <t>Finished product safety stock in house</t>
  </si>
  <si>
    <t xml:space="preserve">Nat Graphite </t>
  </si>
  <si>
    <t>AvG Finsished product in house to cover pick up</t>
  </si>
  <si>
    <t>Art Graphite</t>
  </si>
  <si>
    <t>Finished product in transit to the customer</t>
  </si>
  <si>
    <t>Mix with Nat</t>
  </si>
  <si>
    <t>RM cost of black-mix /nat. graph.</t>
  </si>
  <si>
    <t xml:space="preserve">Finished product at customer </t>
  </si>
  <si>
    <t>Mix with Art</t>
  </si>
  <si>
    <t>RM cost of black-mix /art. graph.</t>
  </si>
  <si>
    <t xml:space="preserve">Total finished product inventory </t>
  </si>
  <si>
    <t>days</t>
  </si>
  <si>
    <t>w days* = weighted days = days x %price</t>
  </si>
  <si>
    <t>Other mix</t>
  </si>
  <si>
    <t>Price is adjusted  /quoted grade</t>
  </si>
  <si>
    <t xml:space="preserve">The WIP in the plant considers </t>
  </si>
  <si>
    <t>days of RM</t>
  </si>
  <si>
    <t>Plate</t>
  </si>
  <si>
    <t>Profitability from COSTING</t>
  </si>
  <si>
    <t>TRI / ROI result</t>
  </si>
  <si>
    <t>ROI target</t>
  </si>
  <si>
    <t>Riyong/RY5.578.100A Riyong China</t>
  </si>
  <si>
    <t>I</t>
  </si>
  <si>
    <t>Limit of frozen data</t>
  </si>
  <si>
    <t>SIMULATION ZONE</t>
  </si>
  <si>
    <t>Profitability (SIMULATION)</t>
  </si>
  <si>
    <t>NEW</t>
  </si>
  <si>
    <t>Average</t>
  </si>
  <si>
    <t>Qtes</t>
  </si>
  <si>
    <t>Cash Generation</t>
  </si>
  <si>
    <t>volume</t>
  </si>
  <si>
    <t xml:space="preserve">Productivity </t>
  </si>
  <si>
    <t>VAN</t>
  </si>
  <si>
    <t>ROI target changed</t>
  </si>
  <si>
    <t>ADJUST THE PRICE TO FINAL PRICE TARGETTED</t>
  </si>
  <si>
    <t>productivity</t>
  </si>
  <si>
    <t>%</t>
  </si>
  <si>
    <t>Part impacted by productivity</t>
  </si>
  <si>
    <t>Calculation OK</t>
  </si>
  <si>
    <t>Initial Target price (RFQ data)</t>
  </si>
  <si>
    <t>Avo plant currency</t>
  </si>
  <si>
    <t>WARNING : VOLUME CHANGE HERE MUST NOT IMPACT THE PACKAGE VOLUME OFFER</t>
  </si>
  <si>
    <t>Packaging and transportation</t>
  </si>
  <si>
    <t/>
  </si>
  <si>
    <t>Customer curenccy</t>
  </si>
  <si>
    <t xml:space="preserve">Indexed material </t>
  </si>
  <si>
    <t>Max productivity</t>
  </si>
  <si>
    <t>Currency rate of costing</t>
  </si>
  <si>
    <t>new currency rate</t>
  </si>
  <si>
    <t>Final price</t>
  </si>
  <si>
    <t>New PRICE for simulation</t>
  </si>
  <si>
    <t>-----&gt;</t>
  </si>
  <si>
    <t>Final price (Sales target)</t>
  </si>
  <si>
    <t>rate :</t>
  </si>
  <si>
    <t>Sales (kRMB)</t>
  </si>
  <si>
    <t>only used for simulation transposition</t>
  </si>
  <si>
    <t>not take in account in costing</t>
  </si>
  <si>
    <t xml:space="preserve">RM incl. supplier productivity </t>
  </si>
  <si>
    <t>Simulation at Target Price + Indexation changes + with vol effect at</t>
  </si>
  <si>
    <t>set up it below</t>
  </si>
  <si>
    <t>not impacted RM cost, …</t>
  </si>
  <si>
    <t>Packaging</t>
  </si>
  <si>
    <t xml:space="preserve">Total Material </t>
  </si>
  <si>
    <t>RM  + Packaging</t>
  </si>
  <si>
    <t>DC</t>
  </si>
  <si>
    <t>DL</t>
  </si>
  <si>
    <t>VOH</t>
  </si>
  <si>
    <t>tranportation</t>
  </si>
  <si>
    <t>GMDC</t>
  </si>
  <si>
    <t>FOH + Admin</t>
  </si>
  <si>
    <t>Fees</t>
  </si>
  <si>
    <t>EBITDA</t>
  </si>
  <si>
    <t>Inbound transportation</t>
  </si>
  <si>
    <t>Outbound Transportation</t>
  </si>
  <si>
    <t>Total transportation</t>
  </si>
  <si>
    <t>Depreciation</t>
  </si>
  <si>
    <t>Financial cost</t>
  </si>
  <si>
    <t>Parameter box</t>
  </si>
  <si>
    <t>min price / max vol (without silver):</t>
  </si>
  <si>
    <t>Operation Income</t>
  </si>
  <si>
    <t>Operatin Income</t>
  </si>
  <si>
    <t>Initial SCENARIO for a package volume of :</t>
  </si>
  <si>
    <t>LOOK FOR PACKAGE OFFER or ANOTHER SCENARIO</t>
  </si>
  <si>
    <t>to be validated with VP Sales</t>
  </si>
  <si>
    <t>Taxes</t>
  </si>
  <si>
    <t>/unit</t>
  </si>
  <si>
    <t>/year</t>
  </si>
  <si>
    <t xml:space="preserve">and adjust global volume </t>
  </si>
  <si>
    <t>Kparts/y</t>
  </si>
  <si>
    <t>Net result</t>
  </si>
  <si>
    <t>Keur</t>
  </si>
  <si>
    <t>Tranportation &amp; Taxes</t>
  </si>
  <si>
    <t>New</t>
  </si>
  <si>
    <t>Company tax</t>
  </si>
  <si>
    <t>vol effect</t>
  </si>
  <si>
    <t>CAPEX</t>
  </si>
  <si>
    <t>DTWC</t>
  </si>
  <si>
    <t>T/0</t>
  </si>
  <si>
    <t>Min  Price</t>
  </si>
  <si>
    <t>1st Cur</t>
  </si>
  <si>
    <t xml:space="preserve">2nd Cur </t>
  </si>
  <si>
    <t>Proposed price</t>
  </si>
  <si>
    <t>Tax on dividend</t>
  </si>
  <si>
    <t>for exact calculation on 1 part#, request a new costing by changing the Package vol on a RFQ scenario</t>
  </si>
  <si>
    <t xml:space="preserve">Cash </t>
  </si>
  <si>
    <t>-</t>
  </si>
  <si>
    <t>MOQ</t>
  </si>
  <si>
    <t>parts should be produced</t>
  </si>
  <si>
    <t xml:space="preserve">Cum cash </t>
  </si>
  <si>
    <t xml:space="preserve">For </t>
  </si>
  <si>
    <t>Brushes - B-Alt &amp; Auxilairy / t or a</t>
  </si>
  <si>
    <t>a</t>
  </si>
  <si>
    <t>Normal</t>
  </si>
  <si>
    <t>stategy is applicable</t>
  </si>
  <si>
    <t>FOH &amp; FEES CALCULATION</t>
  </si>
  <si>
    <t>Price</t>
  </si>
  <si>
    <t>volume effect on FOH&amp;Fees is corresponding to</t>
  </si>
  <si>
    <t>Volume référecne</t>
  </si>
  <si>
    <t>Kpart</t>
  </si>
  <si>
    <t>volume effect parameter</t>
  </si>
  <si>
    <t>ROI</t>
  </si>
  <si>
    <t>With the package volume, vol effect is now at</t>
  </si>
  <si>
    <t>T/0 reference</t>
  </si>
  <si>
    <t>KE</t>
  </si>
  <si>
    <t>amplitude</t>
  </si>
  <si>
    <t>NPV (20%)</t>
  </si>
  <si>
    <t>but maybe, we take a strategic* decision at</t>
  </si>
  <si>
    <t>pseudoT/O of the quote</t>
  </si>
  <si>
    <t>EURINR</t>
  </si>
  <si>
    <t>centrage /vol ref</t>
  </si>
  <si>
    <t>WARNING: Integrates margin on Tooling solt to customer and potential supplier business link</t>
  </si>
  <si>
    <t>The current decision is in between</t>
  </si>
  <si>
    <t>&amp;</t>
  </si>
  <si>
    <t>little agressive</t>
  </si>
  <si>
    <t>Volume effect</t>
  </si>
  <si>
    <t>with normal stategy</t>
  </si>
  <si>
    <t>V V V</t>
  </si>
  <si>
    <t>pseudo T/O of the package</t>
  </si>
  <si>
    <t>AVOCAPEX +TOOL</t>
  </si>
  <si>
    <t xml:space="preserve">TRANSPORTATION COST </t>
  </si>
  <si>
    <t>plant#</t>
  </si>
  <si>
    <t>Vol effect selected on RFQ</t>
  </si>
  <si>
    <t>Depreciation Y1</t>
  </si>
  <si>
    <t xml:space="preserve">from </t>
  </si>
  <si>
    <t>RMB /p</t>
  </si>
  <si>
    <t>RMB /pallet</t>
  </si>
  <si>
    <t>EUR /p</t>
  </si>
  <si>
    <t>EUR /pallet</t>
  </si>
  <si>
    <t>Depreciation Y2</t>
  </si>
  <si>
    <t>to</t>
  </si>
  <si>
    <t>ElFahs</t>
  </si>
  <si>
    <t xml:space="preserve">CESSION PRICE &amp; MARGIN BALANCING (GROUP FINANCIAL DECISION) </t>
  </si>
  <si>
    <t>Depreciation Y3</t>
  </si>
  <si>
    <t>Monterrey</t>
  </si>
  <si>
    <t>coeff variation on mixes</t>
  </si>
  <si>
    <t>(200% default)</t>
  </si>
  <si>
    <t>Depreciation Y4</t>
  </si>
  <si>
    <t>Kunshan</t>
  </si>
  <si>
    <t>coeff variation on semi-finished products (blocks)</t>
  </si>
  <si>
    <t>(100% default)</t>
  </si>
  <si>
    <t>Depreciation Y5</t>
  </si>
  <si>
    <t xml:space="preserve"> </t>
  </si>
  <si>
    <t>--&gt; take care to add taxes and Cash impact</t>
  </si>
  <si>
    <t>coeff variation on Trader margin</t>
  </si>
  <si>
    <t>adapt the simulated price to final price on top</t>
  </si>
  <si>
    <t>Simulation /plant &amp; cession price estimation  in</t>
  </si>
  <si>
    <t>--&gt; see on the right side</t>
  </si>
  <si>
    <t>Minimum selling price EXW</t>
  </si>
  <si>
    <t>AP</t>
  </si>
  <si>
    <t>RM+Trp+Tx</t>
  </si>
  <si>
    <t>/u</t>
  </si>
  <si>
    <t>margin%</t>
  </si>
  <si>
    <t>margin</t>
  </si>
  <si>
    <t>AR</t>
  </si>
  <si>
    <t>black-mix</t>
  </si>
  <si>
    <t>Frankfurt</t>
  </si>
  <si>
    <t xml:space="preserve">FP </t>
  </si>
  <si>
    <t>Pressing-baking</t>
  </si>
  <si>
    <t> </t>
  </si>
  <si>
    <t>WIP</t>
  </si>
  <si>
    <t>finisher</t>
  </si>
  <si>
    <t>RM</t>
  </si>
  <si>
    <t>TWC</t>
  </si>
  <si>
    <t>ship. I &amp; O</t>
  </si>
  <si>
    <t>cost /u</t>
  </si>
  <si>
    <t>Minimuim selling price</t>
  </si>
  <si>
    <t>Trader</t>
  </si>
  <si>
    <t>No</t>
  </si>
  <si>
    <t>BOM, PROCESS details &amp; CAPEX  - Costing process</t>
  </si>
  <si>
    <t>Area with fomula</t>
  </si>
  <si>
    <t>Productivity proposed</t>
  </si>
  <si>
    <t>Price/piece      RMB</t>
  </si>
  <si>
    <t xml:space="preserve">Qty </t>
  </si>
  <si>
    <t>Business link max</t>
  </si>
  <si>
    <t>volume effect</t>
  </si>
  <si>
    <t>Incoterm</t>
  </si>
  <si>
    <t>recommended :</t>
  </si>
  <si>
    <t>Quoted :</t>
  </si>
  <si>
    <t>Payment terms max</t>
  </si>
  <si>
    <t>Net</t>
  </si>
  <si>
    <t>rate</t>
  </si>
  <si>
    <t xml:space="preserve">Invoicing currency </t>
  </si>
  <si>
    <t xml:space="preserve">Indexation on material </t>
  </si>
  <si>
    <t>used</t>
  </si>
  <si>
    <t>changed</t>
  </si>
  <si>
    <t>impact / u</t>
  </si>
  <si>
    <t>new value</t>
  </si>
  <si>
    <t xml:space="preserve">Material </t>
  </si>
  <si>
    <t>Weight in g</t>
  </si>
  <si>
    <t>Material value /kg</t>
  </si>
  <si>
    <t>Value in the product</t>
  </si>
  <si>
    <t>EUR/kg</t>
  </si>
  <si>
    <t xml:space="preserve">Indexation on exchange rate </t>
  </si>
  <si>
    <t>Purchasing currency</t>
  </si>
  <si>
    <t>Quoting currency</t>
  </si>
  <si>
    <t>Exchange rate</t>
  </si>
  <si>
    <t>Value</t>
  </si>
  <si>
    <t>New indexations are taking in account in the profitability simulation</t>
  </si>
  <si>
    <t>Material cost</t>
  </si>
  <si>
    <t xml:space="preserve">CAPEX COST </t>
  </si>
  <si>
    <t>Margin</t>
  </si>
  <si>
    <t>Customer PRICE</t>
  </si>
  <si>
    <t>Scrap</t>
  </si>
  <si>
    <t>KRMB</t>
  </si>
  <si>
    <t xml:space="preserve">Description </t>
  </si>
  <si>
    <t>Comment (imposed supplier; internal?,…)</t>
  </si>
  <si>
    <t>Qty per product</t>
  </si>
  <si>
    <t>Plant (user)</t>
  </si>
  <si>
    <t>Cost</t>
  </si>
  <si>
    <t>origin of incoterm</t>
  </si>
  <si>
    <t>TOOLING</t>
  </si>
  <si>
    <t>needs ?</t>
  </si>
  <si>
    <t>COMMENT</t>
  </si>
  <si>
    <t>Copper powder (g)</t>
  </si>
  <si>
    <t>Europe</t>
  </si>
  <si>
    <t>Silver powder (g)</t>
  </si>
  <si>
    <t>Mix with Nat Graphite (g)</t>
  </si>
  <si>
    <t>Mix with Art Graphite (g)</t>
  </si>
  <si>
    <t>Cu/Ag powder conversion (g)</t>
  </si>
  <si>
    <t>Other mix (g)</t>
  </si>
  <si>
    <t>impregnation material (g)</t>
  </si>
  <si>
    <t>Cable-material (g)</t>
  </si>
  <si>
    <t>Cable-conversion (g)</t>
  </si>
  <si>
    <t>Grade from Plate</t>
  </si>
  <si>
    <t>Sleeves (mm)</t>
  </si>
  <si>
    <t>specific terminal 1</t>
  </si>
  <si>
    <t>x</t>
  </si>
  <si>
    <t>specific terminal 2</t>
  </si>
  <si>
    <t>Spring</t>
  </si>
  <si>
    <t>Pop off (sub-assembly)</t>
  </si>
  <si>
    <t>Alarm wire</t>
  </si>
  <si>
    <t>Other component</t>
  </si>
  <si>
    <t>Cement powder (g)</t>
  </si>
  <si>
    <t>Copper powder (g) grinded</t>
  </si>
  <si>
    <t>Lost in process</t>
  </si>
  <si>
    <t>Silver powder (g) grinded</t>
  </si>
  <si>
    <t>Mix with Nat Graphite (g) grinded</t>
  </si>
  <si>
    <t>Mix with Art Graphite (g) grinded</t>
  </si>
  <si>
    <t>Cu/Ag powder conversion (g) grinded</t>
  </si>
  <si>
    <t>Other mix (g) grinded</t>
  </si>
  <si>
    <t>Total Tool/RM</t>
  </si>
  <si>
    <t>Tansportation</t>
  </si>
  <si>
    <t>to be considered</t>
  </si>
  <si>
    <t>Product added value (Labor + VOH)</t>
  </si>
  <si>
    <t>on max vol</t>
  </si>
  <si>
    <t>Operation</t>
  </si>
  <si>
    <t>Machine / comment</t>
  </si>
  <si>
    <t># of operation per piece</t>
  </si>
  <si>
    <t>Plant</t>
  </si>
  <si>
    <t>Labor Cost</t>
  </si>
  <si>
    <t>VOH Cost</t>
  </si>
  <si>
    <t>Machine load (%)</t>
  </si>
  <si>
    <t>MACHINE</t>
  </si>
  <si>
    <t>on
Mach</t>
  </si>
  <si>
    <t>on
Tool</t>
  </si>
  <si>
    <t>Cost of a full machine</t>
  </si>
  <si>
    <t>Price for a full machine (without tooling)</t>
  </si>
  <si>
    <t>full capcity  /mach (Kp/y)</t>
  </si>
  <si>
    <t>Black mixing</t>
  </si>
  <si>
    <t>NA</t>
  </si>
  <si>
    <t>Final mixing</t>
  </si>
  <si>
    <t>Pressing</t>
  </si>
  <si>
    <t>Baking (continus)</t>
  </si>
  <si>
    <t>Baking (batch)</t>
  </si>
  <si>
    <t>Welding auto</t>
  </si>
  <si>
    <t>Welding manual</t>
  </si>
  <si>
    <t>Grinding auto</t>
  </si>
  <si>
    <t>based on brush grinding machine cost</t>
  </si>
  <si>
    <t>Grinding manual</t>
  </si>
  <si>
    <t>Impregnation</t>
  </si>
  <si>
    <t>Pop off assembly</t>
  </si>
  <si>
    <t>Drilling/Tamping</t>
  </si>
  <si>
    <t>Tubing</t>
  </si>
  <si>
    <t>Terminal welding</t>
  </si>
  <si>
    <t>Terminal crimping</t>
  </si>
  <si>
    <t>Tinning manual</t>
  </si>
  <si>
    <t>Plate cutting</t>
  </si>
  <si>
    <t>Block sawing (Auto)</t>
  </si>
  <si>
    <t>Block sizing (Auto)</t>
  </si>
  <si>
    <t>Block finishing (Auto)</t>
  </si>
  <si>
    <t>Block finishing (Manual)</t>
  </si>
  <si>
    <t>Curing</t>
  </si>
  <si>
    <t>Gluing</t>
  </si>
  <si>
    <t>Glue in VOH</t>
  </si>
  <si>
    <t>Taping</t>
  </si>
  <si>
    <t>Standard Brush assembly</t>
  </si>
  <si>
    <t>Visual check</t>
  </si>
  <si>
    <t>F. Packaging</t>
  </si>
  <si>
    <t>Trading</t>
  </si>
  <si>
    <t>In Europe, some operations would be subcontracted in Tunisia (costing remains unchanged)</t>
  </si>
  <si>
    <t>with</t>
  </si>
  <si>
    <t>free capacity</t>
  </si>
  <si>
    <t>PROCESS PARAMETERS (Hyp)</t>
  </si>
  <si>
    <t>(valid only if the process exist for the brush quoted)</t>
  </si>
  <si>
    <t>PRODUCT PARAMETERS</t>
  </si>
  <si>
    <t>PRESS TOOLING COST (EUROS)</t>
  </si>
  <si>
    <t>total</t>
  </si>
  <si>
    <t>PRESSING</t>
  </si>
  <si>
    <t>Press type</t>
  </si>
  <si>
    <t>see prod. plant</t>
  </si>
  <si>
    <t>Xxx</t>
  </si>
  <si>
    <t>type</t>
  </si>
  <si>
    <t>T</t>
  </si>
  <si>
    <t>mm</t>
  </si>
  <si>
    <t>general case , not for micro-brush</t>
  </si>
  <si>
    <t>For Low Runner</t>
  </si>
  <si>
    <t>Nb of Cavities</t>
  </si>
  <si>
    <t>qty</t>
  </si>
  <si>
    <t>A</t>
  </si>
  <si>
    <t>Number of cavities has no impact</t>
  </si>
  <si>
    <t>For Middle Runner</t>
  </si>
  <si>
    <t>Pressure</t>
  </si>
  <si>
    <t>KN/cm²</t>
  </si>
  <si>
    <t>R</t>
  </si>
  <si>
    <t>For High Runner</t>
  </si>
  <si>
    <t>Force /cavity</t>
  </si>
  <si>
    <t>KN</t>
  </si>
  <si>
    <t>Cable section</t>
  </si>
  <si>
    <t>mm²</t>
  </si>
  <si>
    <t>details for 7 cavities :</t>
  </si>
  <si>
    <t>1st set</t>
  </si>
  <si>
    <t>2nd set</t>
  </si>
  <si>
    <t>3rd set</t>
  </si>
  <si>
    <t>Press Force</t>
  </si>
  <si>
    <t>Cable Lenght (outside the brush)</t>
  </si>
  <si>
    <t>Press speed rate</t>
  </si>
  <si>
    <t>Str/min</t>
  </si>
  <si>
    <t>Wire material</t>
  </si>
  <si>
    <t>Cu</t>
  </si>
  <si>
    <t>One set of tools costs: approx. 2405€.</t>
  </si>
  <si>
    <t>Pressing speed</t>
  </si>
  <si>
    <t>Str/h</t>
  </si>
  <si>
    <t>pressing direction</t>
  </si>
  <si>
    <t>Three sets of tools are needed for each brush</t>
  </si>
  <si>
    <t>BAKING</t>
  </si>
  <si>
    <t>Oven Type</t>
  </si>
  <si>
    <t>H7</t>
  </si>
  <si>
    <t>Brush process type ?</t>
  </si>
  <si>
    <t>The Die: 1531€</t>
  </si>
  <si>
    <t>Duration</t>
  </si>
  <si>
    <t>hour</t>
  </si>
  <si>
    <t>Apps</t>
  </si>
  <si>
    <t>Upper punch:  7 x 33€ = 231€ /</t>
  </si>
  <si>
    <t>Qty/basket in</t>
  </si>
  <si>
    <t>part/basket</t>
  </si>
  <si>
    <t>Grade quoted</t>
  </si>
  <si>
    <t>C8651</t>
  </si>
  <si>
    <t>Qty /Batch in</t>
  </si>
  <si>
    <t>part/oven</t>
  </si>
  <si>
    <t>Grade type</t>
  </si>
  <si>
    <t>Metal Graphite</t>
  </si>
  <si>
    <t xml:space="preserve">Lower punch:  7 x 47€ = 329€ / </t>
  </si>
  <si>
    <t>IMPREGNATION</t>
  </si>
  <si>
    <t>Batch size for Impregnation</t>
  </si>
  <si>
    <t>Black Mix or Mix (P) Origin Area</t>
  </si>
  <si>
    <t>Copper % 
(main mayer)</t>
  </si>
  <si>
    <t xml:space="preserve">Upper punch receptacle: 1 x 218€ / </t>
  </si>
  <si>
    <t>CURING</t>
  </si>
  <si>
    <t>Batch size for Curing</t>
  </si>
  <si>
    <t>Silver% 
(Main layer)</t>
  </si>
  <si>
    <t>Artificial% /total graphite</t>
  </si>
  <si>
    <t xml:space="preserve">Upper punch holder: 1 x 96€ / </t>
  </si>
  <si>
    <t>GRINDING</t>
  </si>
  <si>
    <t>grinding speed (auto)</t>
  </si>
  <si>
    <t>m/s</t>
  </si>
  <si>
    <t>Tamping powder</t>
  </si>
  <si>
    <t>Copper powder</t>
  </si>
  <si>
    <t>grinding OEE</t>
  </si>
  <si>
    <t>Electrod package</t>
  </si>
  <si>
    <t>grinding stroke (auto)</t>
  </si>
  <si>
    <t>p/h</t>
  </si>
  <si>
    <t>Line Scrap</t>
  </si>
  <si>
    <t>PACKAGING</t>
  </si>
  <si>
    <t>Box size</t>
  </si>
  <si>
    <t>C16</t>
  </si>
  <si>
    <t>Number of operations</t>
  </si>
  <si>
    <t>Packing speed</t>
  </si>
  <si>
    <t>min/box</t>
  </si>
  <si>
    <t>Qty / box in</t>
  </si>
  <si>
    <t>estimated product weight (net)</t>
  </si>
  <si>
    <t>g</t>
  </si>
  <si>
    <t>Pallet size</t>
  </si>
  <si>
    <t>80*60</t>
  </si>
  <si>
    <t>Qty/pallet in</t>
  </si>
  <si>
    <t>MOQ /production batch</t>
  </si>
  <si>
    <t>Pallet Total Weight</t>
  </si>
  <si>
    <t>Kg</t>
  </si>
  <si>
    <t>comment:</t>
  </si>
  <si>
    <t>This area will be used as costing if this RFQ is concerned by a small runner or MOQ change</t>
  </si>
  <si>
    <t>MOQ/order and minimum price</t>
  </si>
  <si>
    <t>PRICE Simulator for small series</t>
  </si>
  <si>
    <t>Pricing by annual volume (as costing file), is mostly efficient for more than 1 full batch (full oven) by year.</t>
  </si>
  <si>
    <t>complete the yellow cell only</t>
  </si>
  <si>
    <t>Standard MOQ is defined as a batch oven. Lower MOQ can be offered but in this case std  GMDC calcualation is not relevant.</t>
  </si>
  <si>
    <t>Select the Currency</t>
  </si>
  <si>
    <t>Simulate your Brush :</t>
  </si>
  <si>
    <r>
      <t xml:space="preserve">Find below the costing tool for </t>
    </r>
    <r>
      <rPr>
        <b/>
        <u/>
        <sz val="11"/>
        <color theme="1"/>
        <rFont val="Calibri"/>
        <family val="2"/>
        <scheme val="minor"/>
      </rPr>
      <t>minimim price</t>
    </r>
    <r>
      <rPr>
        <sz val="11"/>
        <color theme="1"/>
        <rFont val="Calibri"/>
        <family val="2"/>
        <scheme val="minor"/>
      </rPr>
      <t xml:space="preserve"> versus MOQ (depending of applicattion &amp; brush size)</t>
    </r>
  </si>
  <si>
    <t>t (mm)</t>
  </si>
  <si>
    <t xml:space="preserve">Assumption is that no order can be less than </t>
  </si>
  <si>
    <t>Eur</t>
  </si>
  <si>
    <t>(Target 2500 Eur /invoice)</t>
  </si>
  <si>
    <t>a (mm)</t>
  </si>
  <si>
    <t>Currency rate</t>
  </si>
  <si>
    <t>r (mm)</t>
  </si>
  <si>
    <t>if you want to balance a other price/u</t>
  </si>
  <si>
    <t>Price without components</t>
  </si>
  <si>
    <t>+margin (20%)</t>
  </si>
  <si>
    <t>"</t>
  </si>
  <si>
    <t>V =</t>
  </si>
  <si>
    <t>cm3</t>
  </si>
  <si>
    <t>Full batch (oven)</t>
  </si>
  <si>
    <t>Standard MOQ</t>
  </si>
  <si>
    <t>of batch size as limit of use of SR tool</t>
  </si>
  <si>
    <t xml:space="preserve">Min price is </t>
  </si>
  <si>
    <t>MOQ /order</t>
  </si>
  <si>
    <t>PRICE/u</t>
  </si>
  <si>
    <t>min /order (Cur)</t>
  </si>
  <si>
    <t>fix your small series qty</t>
  </si>
  <si>
    <t>check here</t>
  </si>
  <si>
    <t>which min price to use</t>
  </si>
  <si>
    <t>samples+ (single order)</t>
  </si>
  <si>
    <t>samples</t>
  </si>
  <si>
    <t>30 to 100 parts</t>
  </si>
  <si>
    <t>fixed price</t>
  </si>
  <si>
    <t>Choice the MOQ to be offered ?</t>
  </si>
  <si>
    <t>NO</t>
  </si>
  <si>
    <t>Reminder :</t>
  </si>
  <si>
    <t xml:space="preserve">MINIMUN PRICE IS </t>
  </si>
  <si>
    <t>AVOCarbon do not want to have parts in stock not ordered.</t>
  </si>
  <si>
    <t>Cur /u</t>
  </si>
  <si>
    <t>T/O /MOQ</t>
  </si>
  <si>
    <t>That why we need to negotiate first the MOQ versus price with the customer</t>
  </si>
  <si>
    <t>find here</t>
  </si>
  <si>
    <t>Then Production will manage stock versus batch size versus number of set up</t>
  </si>
  <si>
    <t>PRICE Parameters / apps</t>
  </si>
  <si>
    <t>USED</t>
  </si>
  <si>
    <t xml:space="preserve">how balance </t>
  </si>
  <si>
    <t>the price vs MOQ</t>
  </si>
  <si>
    <t>OK :-)</t>
  </si>
  <si>
    <t>Commercial strategy recommended :</t>
  </si>
  <si>
    <t>Use this minimum price and MOQ to improve current situaiton, arguing that AVOCarbon finance fixed strict rules because our cash is a critical topic.</t>
  </si>
  <si>
    <t>For new project, RFQ with low volume, we are only interesting if we can make a great margin (GMCD is not a good indicator in that case). Prices could be 2 times this minimum price.</t>
  </si>
  <si>
    <t>Tool for calculation of package :</t>
  </si>
  <si>
    <t>complete/remplace the yellow cells</t>
  </si>
  <si>
    <t>qty/y</t>
  </si>
  <si>
    <t>Package offer</t>
  </si>
  <si>
    <t>Part #1</t>
  </si>
  <si>
    <t>Kp</t>
  </si>
  <si>
    <t>Put the highest volume on part #1</t>
  </si>
  <si>
    <t>Part #2</t>
  </si>
  <si>
    <t>Part #3</t>
  </si>
  <si>
    <t>Part #4</t>
  </si>
  <si>
    <t>Part #5</t>
  </si>
  <si>
    <t>Part #6</t>
  </si>
  <si>
    <t>Part #7</t>
  </si>
  <si>
    <t>Part #8</t>
  </si>
  <si>
    <t>Part #9</t>
  </si>
  <si>
    <t>Part #10</t>
  </si>
  <si>
    <t>Part #11</t>
  </si>
  <si>
    <t>Part #12</t>
  </si>
  <si>
    <t>remark : not applicable on a part consider as a small runner = qty/y &lt; 1 batch</t>
  </si>
  <si>
    <t>Package offer can be consider only if volume of each part# are close  (also close design and complecity - close price)</t>
  </si>
  <si>
    <t>Exemple 1:</t>
  </si>
  <si>
    <t>basic approach</t>
  </si>
  <si>
    <t>package offer</t>
  </si>
  <si>
    <t>Part A</t>
  </si>
  <si>
    <t>OK</t>
  </si>
  <si>
    <t>the full volume when volumes are close (max 25% difference on smallest)</t>
  </si>
  <si>
    <t>Part B</t>
  </si>
  <si>
    <t>Part C</t>
  </si>
  <si>
    <t>NOK</t>
  </si>
  <si>
    <t>Not applicable on small runner</t>
  </si>
  <si>
    <t>Example 2:</t>
  </si>
  <si>
    <t>(improved approach) large package from a subcontractor</t>
  </si>
  <si>
    <t>final customer</t>
  </si>
  <si>
    <t>Customer A</t>
  </si>
  <si>
    <t>here it is the full qty of the package</t>
  </si>
  <si>
    <t>here it is ratio of the corresponding volume / full volume</t>
  </si>
  <si>
    <t>Part D</t>
  </si>
  <si>
    <t>Part E</t>
  </si>
  <si>
    <t>Customer B</t>
  </si>
  <si>
    <t>Part F</t>
  </si>
  <si>
    <t>we need to split by customer</t>
  </si>
  <si>
    <t>Example 3:</t>
  </si>
  <si>
    <t>if more complex, with different applications, different brush sizes, different brush complexity and costs, different products..</t>
  </si>
  <si>
    <t>then Sales need to evalutate how we can calculate a package (with costing team and PLM)</t>
  </si>
  <si>
    <t>Exemple 4:</t>
  </si>
  <si>
    <t xml:space="preserve"> case of a starter with 4 brushes = 2 with double layer on the top and 2 on the bottom</t>
  </si>
  <si>
    <t>(sames as exemple 1 = basic approach)</t>
  </si>
  <si>
    <t>Example 5:</t>
  </si>
  <si>
    <t>case of a wiper with 3 brushes = 2 brushes with sames grade + 1 brush with a other grade</t>
  </si>
  <si>
    <t>nota : volume are significatively different but they are linked and go on the same motor.</t>
  </si>
  <si>
    <t>update :</t>
  </si>
  <si>
    <t>Feb 2025</t>
  </si>
  <si>
    <t>Previous appraoch</t>
  </si>
  <si>
    <t>New Approach</t>
  </si>
  <si>
    <t>(at plant level)</t>
  </si>
  <si>
    <t>(at group level)</t>
  </si>
  <si>
    <t>HOW is it EVALUATE ?</t>
  </si>
  <si>
    <t>What affects the cost  ?</t>
  </si>
  <si>
    <t>How improve it ?</t>
  </si>
  <si>
    <t xml:space="preserve">RM  </t>
  </si>
  <si>
    <t>RM  (incl. Final Packaging)</t>
  </si>
  <si>
    <r>
      <t xml:space="preserve">- </t>
    </r>
    <r>
      <rPr>
        <b/>
        <sz val="12"/>
        <color theme="1"/>
        <rFont val="Calibri"/>
        <family val="2"/>
        <scheme val="minor"/>
      </rPr>
      <t>Supplier</t>
    </r>
    <r>
      <rPr>
        <sz val="12"/>
        <color theme="1"/>
        <rFont val="Calibri"/>
        <family val="2"/>
        <scheme val="minor"/>
      </rPr>
      <t xml:space="preserve"> costs</t>
    </r>
  </si>
  <si>
    <t>Raw material cost &amp; Indexation
% of main drivers (Cu, silver)
Dimension</t>
  </si>
  <si>
    <r>
      <t xml:space="preserve">Change the </t>
    </r>
    <r>
      <rPr>
        <b/>
        <sz val="12"/>
        <color theme="1"/>
        <rFont val="Calibri"/>
        <family val="2"/>
        <scheme val="minor"/>
      </rPr>
      <t>design</t>
    </r>
  </si>
  <si>
    <t>DIRECT</t>
  </si>
  <si>
    <r>
      <t xml:space="preserve">- </t>
    </r>
    <r>
      <rPr>
        <b/>
        <sz val="12"/>
        <color theme="1"/>
        <rFont val="Calibri"/>
        <family val="2"/>
        <scheme val="minor"/>
      </rPr>
      <t>Direct labor</t>
    </r>
    <r>
      <rPr>
        <sz val="12"/>
        <color theme="1"/>
        <rFont val="Calibri"/>
        <family val="2"/>
        <scheme val="minor"/>
      </rPr>
      <t xml:space="preserve">
(based on the best standards of the group in term of process)</t>
    </r>
  </si>
  <si>
    <t>process routers
manual or automatic process
plant location</t>
  </si>
  <si>
    <r>
      <t xml:space="preserve">Find a better </t>
    </r>
    <r>
      <rPr>
        <b/>
        <sz val="12"/>
        <color theme="1"/>
        <rFont val="Calibri"/>
        <family val="2"/>
        <scheme val="minor"/>
      </rPr>
      <t>alternative process</t>
    </r>
  </si>
  <si>
    <t>COST</t>
  </si>
  <si>
    <r>
      <t xml:space="preserve">- standard cost/h for </t>
    </r>
    <r>
      <rPr>
        <b/>
        <sz val="12"/>
        <color theme="1"/>
        <rFont val="Calibri"/>
        <family val="2"/>
        <scheme val="minor"/>
      </rPr>
      <t>maintenance</t>
    </r>
    <r>
      <rPr>
        <sz val="12"/>
        <color theme="1"/>
        <rFont val="Calibri"/>
        <family val="2"/>
        <scheme val="minor"/>
      </rPr>
      <t xml:space="preserve"> / plant
- spare parts /process (%/year of a new machine value)
-</t>
    </r>
    <r>
      <rPr>
        <b/>
        <sz val="12"/>
        <color theme="1"/>
        <rFont val="Calibri"/>
        <family val="2"/>
        <scheme val="minor"/>
      </rPr>
      <t xml:space="preserve"> energy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tooling</t>
    </r>
    <r>
      <rPr>
        <sz val="12"/>
        <color theme="1"/>
        <rFont val="Calibri"/>
        <family val="2"/>
        <scheme val="minor"/>
      </rPr>
      <t xml:space="preserve"> cost /process</t>
    </r>
  </si>
  <si>
    <t>Energy and tooling cost</t>
  </si>
  <si>
    <t>Minimun
PRICE</t>
  </si>
  <si>
    <t>tranportation &amp; taxes</t>
  </si>
  <si>
    <r>
      <t xml:space="preserve">- </t>
    </r>
    <r>
      <rPr>
        <b/>
        <sz val="12"/>
        <color theme="1"/>
        <rFont val="Calibri"/>
        <family val="2"/>
        <scheme val="minor"/>
      </rPr>
      <t>Inbound transportation</t>
    </r>
    <r>
      <rPr>
        <sz val="12"/>
        <color theme="1"/>
        <rFont val="Calibri"/>
        <family val="2"/>
        <scheme val="minor"/>
      </rPr>
      <t xml:space="preserve"> for RM
- </t>
    </r>
    <r>
      <rPr>
        <b/>
        <sz val="12"/>
        <color theme="1"/>
        <rFont val="Calibri"/>
        <family val="2"/>
        <scheme val="minor"/>
      </rPr>
      <t>Outbound transportation</t>
    </r>
    <r>
      <rPr>
        <sz val="12"/>
        <color theme="1"/>
        <rFont val="Calibri"/>
        <family val="2"/>
        <scheme val="minor"/>
      </rPr>
      <t xml:space="preserve"> for intercompany flows and shipment to the customer</t>
    </r>
  </si>
  <si>
    <t>Supplier location
Customer incoterm
Taxes</t>
  </si>
  <si>
    <r>
      <t xml:space="preserve">Do it </t>
    </r>
    <r>
      <rPr>
        <b/>
        <sz val="12"/>
        <color theme="1"/>
        <rFont val="Calibri"/>
        <family val="2"/>
        <scheme val="minor"/>
      </rPr>
      <t>Local for local</t>
    </r>
  </si>
  <si>
    <t>GROSS</t>
  </si>
  <si>
    <r>
      <t xml:space="preserve">It is a % of the DL + VOH /plant x </t>
    </r>
    <r>
      <rPr>
        <b/>
        <sz val="12"/>
        <color theme="1"/>
        <rFont val="Calibri"/>
        <family val="2"/>
        <scheme val="minor"/>
      </rPr>
      <t xml:space="preserve">volume effect </t>
    </r>
    <r>
      <rPr>
        <sz val="12"/>
        <color theme="1"/>
        <rFont val="Calibri"/>
        <family val="2"/>
        <scheme val="minor"/>
      </rPr>
      <t xml:space="preserve">
= </t>
    </r>
    <r>
      <rPr>
        <b/>
        <sz val="12"/>
        <color theme="1"/>
        <rFont val="Calibri"/>
        <family val="2"/>
        <scheme val="minor"/>
      </rPr>
      <t>contribution</t>
    </r>
    <r>
      <rPr>
        <sz val="12"/>
        <color theme="1"/>
        <rFont val="Calibri"/>
        <family val="2"/>
        <scheme val="minor"/>
      </rPr>
      <t xml:space="preserve"> to Fixed costs of the plants
and Corporate costs
(R&amp;D / SALES / PURCHASES / COSTING / ACCOUNTING…)</t>
    </r>
  </si>
  <si>
    <t>Turn Over (Volume effect)
DL + VOH cost
production plant locations</t>
  </si>
  <si>
    <r>
      <rPr>
        <b/>
        <sz val="12"/>
        <color theme="1"/>
        <rFont val="Calibri"/>
        <family val="2"/>
        <scheme val="minor"/>
      </rPr>
      <t>Agressivity</t>
    </r>
    <r>
      <rPr>
        <sz val="12"/>
        <color theme="1"/>
        <rFont val="Calibri"/>
        <family val="2"/>
        <scheme val="minor"/>
      </rPr>
      <t xml:space="preserve"> lever = Stategic decision of Olivier/Eric to reduce the contribution on FOH/Admin/Fees. It is arbitrary and disconnected from the cost calculation
(rare case)</t>
    </r>
  </si>
  <si>
    <t>MARGIN</t>
  </si>
  <si>
    <t>Minimum EBITDA</t>
  </si>
  <si>
    <r>
      <t xml:space="preserve">Based on a </t>
    </r>
    <r>
      <rPr>
        <b/>
        <sz val="12"/>
        <color theme="1"/>
        <rFont val="Calibri"/>
        <family val="2"/>
        <scheme val="minor"/>
      </rPr>
      <t>ROI</t>
    </r>
    <r>
      <rPr>
        <sz val="12"/>
        <color theme="1"/>
        <rFont val="Calibri"/>
        <family val="2"/>
        <scheme val="minor"/>
      </rPr>
      <t xml:space="preserve"> target /product type and a financial calculation. (ROI = Return on Investment)
Money we need to save for a good rentability
</t>
    </r>
  </si>
  <si>
    <t>Cost of all machines needed for production
Serial order Payment conditions
Stock and WIP level (incoterm, …)
Investments &amp; tooling payment conditions</t>
  </si>
  <si>
    <r>
      <t xml:space="preserve">Frequency of Pick up, EXW incoterm
Increase customer participation on Invest
Change the </t>
    </r>
    <r>
      <rPr>
        <b/>
        <sz val="12"/>
        <color theme="1"/>
        <rFont val="Calibri"/>
        <family val="2"/>
        <scheme val="minor"/>
      </rPr>
      <t>ROI</t>
    </r>
    <r>
      <rPr>
        <sz val="12"/>
        <color theme="1"/>
        <rFont val="Calibri"/>
        <family val="2"/>
        <scheme val="minor"/>
      </rPr>
      <t xml:space="preserve"> target (Olivier/Eric decision) and relaunch the calculation</t>
    </r>
  </si>
  <si>
    <t>remark : previous calculated gross margin is NOT comparable to the numbers on the new costing file (it should higher)</t>
  </si>
  <si>
    <t>THEN THE SITUATION IS AS FOLLOWS :</t>
  </si>
  <si>
    <t>Case 1</t>
  </si>
  <si>
    <t>Case 2</t>
  </si>
  <si>
    <t>market price &lt; minimum AVO price</t>
  </si>
  <si>
    <t>market price &gt; minimum AVO price</t>
  </si>
  <si>
    <t>We need to review our industrial process</t>
  </si>
  <si>
    <t>Sales job to get the best price</t>
  </si>
  <si>
    <t>or stategic decision (Agressivity, ROI)</t>
  </si>
  <si>
    <t>Maximum EBITDA</t>
  </si>
  <si>
    <t>possible price</t>
  </si>
  <si>
    <t>market price</t>
  </si>
  <si>
    <t>AVO min price</t>
  </si>
  <si>
    <t>GUIDELINE for SAMPLES</t>
  </si>
  <si>
    <t>Prototype costs stay in the plant which has the benefice of the future production</t>
  </si>
  <si>
    <t>(customer projects).</t>
  </si>
  <si>
    <t>Customer order should arrive in this same plant.</t>
  </si>
  <si>
    <t>Needed internal invoicing must be organized.</t>
  </si>
  <si>
    <t>Pick-up must be organized to speed up the lead-time.</t>
  </si>
  <si>
    <t xml:space="preserve">Where produce the samples ? : </t>
  </si>
  <si>
    <t>Where it is faster and cheaper to get</t>
  </si>
  <si>
    <t>Local for local when tool is existing</t>
  </si>
  <si>
    <t>India is recommended for Starter and Industrial brushes (tamping..)</t>
  </si>
  <si>
    <t>Tianjin for small brushes</t>
  </si>
  <si>
    <t>Recommended Prices and Cession prices for Prototypes - BRUSH PL</t>
  </si>
  <si>
    <t>cust price</t>
  </si>
  <si>
    <t>Min price</t>
  </si>
  <si>
    <t>internal cession price</t>
  </si>
  <si>
    <t>qty (until)</t>
  </si>
  <si>
    <t>(ex : Europe)</t>
  </si>
  <si>
    <t>(ex : China)</t>
  </si>
  <si>
    <t>between AVO plants</t>
  </si>
  <si>
    <t>+ tooling cost</t>
  </si>
  <si>
    <t>Sales team negotiate with the customer.</t>
  </si>
  <si>
    <t>If samples failed on customer tests, next samples could be free of charge for the customer (Sales decision)</t>
  </si>
  <si>
    <t>Between AVOCarbon plants , find a fair deal in the team as the best profit for the group. The group prevails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</si>
</sst>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\ &quot;€&quot;;[Red]\-#,##0\ &quot;€&quot;"/>
    <numFmt numFmtId="165" formatCode="_-* #,##0.00_-;\-* #,##0.00_-;_-* &quot;-&quot;??_-;_-@_-"/>
    <numFmt numFmtId="166" formatCode="0.000"/>
    <numFmt numFmtId="167" formatCode="0.0"/>
    <numFmt numFmtId="168" formatCode="0.0000"/>
    <numFmt numFmtId="169" formatCode="&quot;K&quot;@"/>
    <numFmt numFmtId="170" formatCode="_-* #,##0.0000\ _€_-;\-* #,##0.0000\ _€_-;_-* &quot;-&quot;????\ _€_-;_-@_-"/>
    <numFmt numFmtId="171" formatCode="_-* #,##0.000\ _€_-;\-* #,##0.000\ _€_-;_-* &quot;-&quot;???\ _€_-;_-@_-"/>
    <numFmt numFmtId="172" formatCode="_-* #,##0\ _€_-;\-* #,##0\ _€_-;_-* &quot;-&quot;\ _€_-;_-@_-"/>
    <numFmt numFmtId="173" formatCode="&quot;OEE : &quot;0.00"/>
    <numFmt numFmtId="174" formatCode="General&quot; week(s)&quot;"/>
    <numFmt numFmtId="175" formatCode="#,##0.0000_ ;\-#,##0.0000\ "/>
    <numFmt numFmtId="176" formatCode="0.0%"/>
    <numFmt numFmtId="177" formatCode="_-* #,##0_-;\-* #,##0_-;_-* &quot;-&quot;??_-;_-@_-"/>
    <numFmt numFmtId="178" formatCode="_-* #,##0.000\ _€_-;\-* #,##0.000\ _€_-;_-* &quot;-&quot;????\ _€_-;_-@_-"/>
    <numFmt numFmtId="179" formatCode="_-* #,##0.0000\ _€_-;\-* #,##0.0000\ _€_-;_-* &quot;-&quot;???\ _€_-;_-@_-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rgb="FF548235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548235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theme="9" tint="-0.249977111117893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9" tint="-0.499984740745262"/>
      <name val="Calibri"/>
      <family val="2"/>
    </font>
    <font>
      <sz val="11"/>
      <color rgb="FFFF0000"/>
      <name val="Calibri"/>
      <family val="2"/>
    </font>
    <font>
      <b/>
      <sz val="11"/>
      <color theme="9" tint="-0.249977111117893"/>
      <name val="Calibri"/>
      <family val="2"/>
    </font>
    <font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Arial Narrow"/>
      <family val="2"/>
    </font>
    <font>
      <b/>
      <sz val="10"/>
      <color theme="1"/>
      <name val="Arial Narrow"/>
      <family val="2"/>
    </font>
    <font>
      <i/>
      <sz val="8"/>
      <color theme="0" tint="-0.499984740745262"/>
      <name val="Calibri"/>
      <family val="2"/>
      <scheme val="minor"/>
    </font>
    <font>
      <sz val="11"/>
      <color theme="5" tint="-0.499984740745262"/>
      <name val="Arial Narrow"/>
      <family val="2"/>
    </font>
    <font>
      <sz val="10"/>
      <color theme="5" tint="-0.499984740745262"/>
      <name val="Calibri"/>
      <family val="2"/>
      <scheme val="minor"/>
    </font>
    <font>
      <b/>
      <sz val="11"/>
      <name val="Arial Narrow"/>
      <family val="2"/>
    </font>
    <font>
      <sz val="11"/>
      <color theme="5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6"/>
      <color rgb="FF0070C0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name val="Arial"/>
      <family val="2"/>
    </font>
    <font>
      <i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9"/>
      <color theme="1"/>
      <name val="Arial Narrow"/>
      <family val="2"/>
    </font>
    <font>
      <b/>
      <i/>
      <sz val="10"/>
      <color theme="9" tint="0.59999389629810485"/>
      <name val="Arial"/>
      <family val="2"/>
    </font>
    <font>
      <b/>
      <sz val="10"/>
      <name val="Arial"/>
      <family val="2"/>
    </font>
    <font>
      <b/>
      <sz val="11"/>
      <color rgb="FF548235"/>
      <name val="Calibri"/>
      <family val="2"/>
    </font>
    <font>
      <sz val="11"/>
      <color theme="7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2CC"/>
        <bgColor rgb="FF000000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dashDot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">
        <color auto="1"/>
      </left>
      <right style="thin">
        <color indexed="64"/>
      </right>
      <top style="thin">
        <color indexed="64"/>
      </top>
      <bottom/>
      <diagonal/>
    </border>
    <border>
      <left style="dashDot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auto="1"/>
      </left>
      <right/>
      <top/>
      <bottom style="mediumDashed">
        <color theme="9" tint="-0.24994659260841701"/>
      </bottom>
      <diagonal/>
    </border>
    <border>
      <left style="dashDot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Dashed">
        <color theme="9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36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2" borderId="5" xfId="0" applyFont="1" applyFill="1" applyBorder="1"/>
    <xf numFmtId="0" fontId="0" fillId="0" borderId="0" xfId="0" applyAlignment="1">
      <alignment horizontal="right"/>
    </xf>
    <xf numFmtId="9" fontId="0" fillId="3" borderId="0" xfId="0" applyNumberFormat="1" applyFill="1"/>
    <xf numFmtId="0" fontId="6" fillId="0" borderId="0" xfId="0" applyFont="1" applyAlignment="1">
      <alignment horizontal="right"/>
    </xf>
    <xf numFmtId="0" fontId="4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2" borderId="10" xfId="0" applyFont="1" applyFill="1" applyBorder="1"/>
    <xf numFmtId="9" fontId="0" fillId="0" borderId="0" xfId="0" applyNumberFormat="1"/>
    <xf numFmtId="0" fontId="7" fillId="0" borderId="1" xfId="0" applyFont="1" applyBorder="1"/>
    <xf numFmtId="0" fontId="4" fillId="0" borderId="12" xfId="0" applyFont="1" applyBorder="1"/>
    <xf numFmtId="9" fontId="5" fillId="0" borderId="13" xfId="1" applyFont="1" applyBorder="1"/>
    <xf numFmtId="9" fontId="5" fillId="0" borderId="14" xfId="1" applyFont="1" applyBorder="1"/>
    <xf numFmtId="9" fontId="5" fillId="0" borderId="15" xfId="1" applyFont="1" applyBorder="1"/>
    <xf numFmtId="9" fontId="5" fillId="2" borderId="16" xfId="1" applyFont="1" applyFill="1" applyBorder="1"/>
    <xf numFmtId="164" fontId="0" fillId="0" borderId="0" xfId="0" applyNumberFormat="1"/>
    <xf numFmtId="0" fontId="2" fillId="0" borderId="0" xfId="0" applyFont="1"/>
    <xf numFmtId="166" fontId="5" fillId="3" borderId="13" xfId="0" applyNumberFormat="1" applyFont="1" applyFill="1" applyBorder="1"/>
    <xf numFmtId="166" fontId="5" fillId="0" borderId="14" xfId="0" applyNumberFormat="1" applyFont="1" applyBorder="1"/>
    <xf numFmtId="166" fontId="5" fillId="0" borderId="15" xfId="0" applyNumberFormat="1" applyFont="1" applyBorder="1"/>
    <xf numFmtId="166" fontId="5" fillId="2" borderId="16" xfId="0" applyNumberFormat="1" applyFont="1" applyFill="1" applyBorder="1"/>
    <xf numFmtId="0" fontId="4" fillId="0" borderId="17" xfId="0" applyFont="1" applyBorder="1"/>
    <xf numFmtId="166" fontId="5" fillId="0" borderId="13" xfId="0" applyNumberFormat="1" applyFon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18" xfId="0" applyNumberFormat="1" applyBorder="1"/>
    <xf numFmtId="1" fontId="0" fillId="0" borderId="0" xfId="0" applyNumberFormat="1"/>
    <xf numFmtId="166" fontId="6" fillId="4" borderId="19" xfId="0" applyNumberFormat="1" applyFont="1" applyFill="1" applyBorder="1"/>
    <xf numFmtId="166" fontId="5" fillId="5" borderId="20" xfId="0" applyNumberFormat="1" applyFont="1" applyFill="1" applyBorder="1"/>
    <xf numFmtId="166" fontId="5" fillId="5" borderId="21" xfId="0" applyNumberFormat="1" applyFont="1" applyFill="1" applyBorder="1"/>
    <xf numFmtId="10" fontId="0" fillId="0" borderId="23" xfId="1" applyNumberFormat="1" applyFont="1" applyFill="1" applyBorder="1"/>
    <xf numFmtId="10" fontId="0" fillId="0" borderId="24" xfId="1" applyNumberFormat="1" applyFont="1" applyFill="1" applyBorder="1"/>
    <xf numFmtId="10" fontId="0" fillId="0" borderId="25" xfId="1" applyNumberFormat="1" applyFont="1" applyFill="1" applyBorder="1"/>
    <xf numFmtId="0" fontId="10" fillId="0" borderId="1" xfId="0" applyFont="1" applyBorder="1"/>
    <xf numFmtId="1" fontId="6" fillId="0" borderId="26" xfId="0" applyNumberFormat="1" applyFont="1" applyBorder="1"/>
    <xf numFmtId="1" fontId="6" fillId="0" borderId="27" xfId="0" applyNumberFormat="1" applyFont="1" applyBorder="1"/>
    <xf numFmtId="1" fontId="6" fillId="0" borderId="28" xfId="0" applyNumberFormat="1" applyFont="1" applyBorder="1"/>
    <xf numFmtId="1" fontId="6" fillId="2" borderId="29" xfId="0" applyNumberFormat="1" applyFont="1" applyFill="1" applyBorder="1"/>
    <xf numFmtId="1" fontId="5" fillId="6" borderId="0" xfId="0" applyNumberFormat="1" applyFont="1" applyFill="1"/>
    <xf numFmtId="0" fontId="4" fillId="0" borderId="0" xfId="0" applyFont="1"/>
    <xf numFmtId="0" fontId="5" fillId="0" borderId="0" xfId="0" applyFont="1"/>
    <xf numFmtId="0" fontId="4" fillId="0" borderId="30" xfId="0" applyFont="1" applyBorder="1"/>
    <xf numFmtId="1" fontId="5" fillId="0" borderId="8" xfId="0" applyNumberFormat="1" applyFont="1" applyBorder="1"/>
    <xf numFmtId="1" fontId="5" fillId="0" borderId="18" xfId="0" applyNumberFormat="1" applyFont="1" applyBorder="1"/>
    <xf numFmtId="1" fontId="5" fillId="2" borderId="31" xfId="0" applyNumberFormat="1" applyFont="1" applyFill="1" applyBorder="1"/>
    <xf numFmtId="1" fontId="5" fillId="0" borderId="0" xfId="0" applyNumberFormat="1" applyFont="1"/>
    <xf numFmtId="167" fontId="5" fillId="0" borderId="19" xfId="0" applyNumberFormat="1" applyFont="1" applyBorder="1"/>
    <xf numFmtId="167" fontId="5" fillId="0" borderId="20" xfId="0" applyNumberFormat="1" applyFont="1" applyBorder="1"/>
    <xf numFmtId="167" fontId="5" fillId="0" borderId="32" xfId="0" applyNumberFormat="1" applyFont="1" applyBorder="1"/>
    <xf numFmtId="167" fontId="5" fillId="2" borderId="33" xfId="0" applyNumberFormat="1" applyFont="1" applyFill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8" xfId="0" applyNumberFormat="1" applyFont="1" applyBorder="1"/>
    <xf numFmtId="167" fontId="6" fillId="2" borderId="31" xfId="0" applyNumberFormat="1" applyFont="1" applyFill="1" applyBorder="1"/>
    <xf numFmtId="9" fontId="6" fillId="0" borderId="23" xfId="1" applyFont="1" applyBorder="1"/>
    <xf numFmtId="9" fontId="6" fillId="0" borderId="24" xfId="1" applyFont="1" applyBorder="1"/>
    <xf numFmtId="9" fontId="6" fillId="0" borderId="25" xfId="1" applyFont="1" applyBorder="1"/>
    <xf numFmtId="9" fontId="6" fillId="2" borderId="35" xfId="1" applyFont="1" applyFill="1" applyBorder="1"/>
    <xf numFmtId="1" fontId="5" fillId="0" borderId="7" xfId="0" applyNumberFormat="1" applyFont="1" applyBorder="1"/>
    <xf numFmtId="9" fontId="5" fillId="0" borderId="19" xfId="1" applyFont="1" applyBorder="1"/>
    <xf numFmtId="9" fontId="5" fillId="0" borderId="20" xfId="1" applyFont="1" applyBorder="1"/>
    <xf numFmtId="9" fontId="5" fillId="0" borderId="32" xfId="1" applyFont="1" applyBorder="1"/>
    <xf numFmtId="9" fontId="5" fillId="2" borderId="35" xfId="1" applyFont="1" applyFill="1" applyBorder="1"/>
    <xf numFmtId="9" fontId="5" fillId="2" borderId="33" xfId="1" applyFont="1" applyFill="1" applyBorder="1"/>
    <xf numFmtId="0" fontId="4" fillId="0" borderId="34" xfId="0" applyFont="1" applyBorder="1"/>
    <xf numFmtId="0" fontId="5" fillId="0" borderId="23" xfId="0" applyFont="1" applyBorder="1"/>
    <xf numFmtId="1" fontId="5" fillId="0" borderId="24" xfId="0" applyNumberFormat="1" applyFont="1" applyBorder="1"/>
    <xf numFmtId="1" fontId="5" fillId="0" borderId="25" xfId="0" applyNumberFormat="1" applyFont="1" applyBorder="1"/>
    <xf numFmtId="1" fontId="5" fillId="2" borderId="35" xfId="0" applyNumberFormat="1" applyFont="1" applyFill="1" applyBorder="1"/>
    <xf numFmtId="0" fontId="5" fillId="0" borderId="37" xfId="0" applyFont="1" applyBorder="1"/>
    <xf numFmtId="1" fontId="5" fillId="0" borderId="38" xfId="0" applyNumberFormat="1" applyFont="1" applyBorder="1"/>
    <xf numFmtId="1" fontId="5" fillId="0" borderId="39" xfId="0" applyNumberFormat="1" applyFont="1" applyBorder="1"/>
    <xf numFmtId="1" fontId="5" fillId="2" borderId="40" xfId="0" applyNumberFormat="1" applyFont="1" applyFill="1" applyBorder="1"/>
    <xf numFmtId="9" fontId="5" fillId="0" borderId="23" xfId="1" applyFont="1" applyBorder="1"/>
    <xf numFmtId="9" fontId="5" fillId="0" borderId="24" xfId="1" applyFont="1" applyBorder="1"/>
    <xf numFmtId="9" fontId="5" fillId="0" borderId="25" xfId="1" applyFont="1" applyBorder="1"/>
    <xf numFmtId="1" fontId="6" fillId="2" borderId="18" xfId="0" applyNumberFormat="1" applyFont="1" applyFill="1" applyBorder="1"/>
    <xf numFmtId="9" fontId="6" fillId="2" borderId="25" xfId="1" applyFont="1" applyFill="1" applyBorder="1"/>
    <xf numFmtId="1" fontId="5" fillId="0" borderId="23" xfId="0" applyNumberFormat="1" applyFont="1" applyBorder="1"/>
    <xf numFmtId="1" fontId="5" fillId="0" borderId="26" xfId="0" applyNumberFormat="1" applyFont="1" applyBorder="1"/>
    <xf numFmtId="1" fontId="5" fillId="0" borderId="27" xfId="0" applyNumberFormat="1" applyFont="1" applyBorder="1"/>
    <xf numFmtId="1" fontId="5" fillId="0" borderId="42" xfId="0" applyNumberFormat="1" applyFont="1" applyBorder="1"/>
    <xf numFmtId="1" fontId="5" fillId="0" borderId="11" xfId="0" applyNumberFormat="1" applyFont="1" applyBorder="1"/>
    <xf numFmtId="0" fontId="0" fillId="0" borderId="0" xfId="0" quotePrefix="1"/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0" fillId="0" borderId="43" xfId="0" applyBorder="1"/>
    <xf numFmtId="168" fontId="3" fillId="0" borderId="14" xfId="0" applyNumberFormat="1" applyFont="1" applyBorder="1"/>
    <xf numFmtId="1" fontId="0" fillId="0" borderId="14" xfId="0" applyNumberFormat="1" applyBorder="1"/>
    <xf numFmtId="168" fontId="0" fillId="0" borderId="14" xfId="0" applyNumberFormat="1" applyBorder="1"/>
    <xf numFmtId="0" fontId="0" fillId="0" borderId="15" xfId="0" applyBorder="1"/>
    <xf numFmtId="0" fontId="5" fillId="0" borderId="26" xfId="0" applyFont="1" applyBorder="1"/>
    <xf numFmtId="0" fontId="5" fillId="0" borderId="27" xfId="0" applyFont="1" applyBorder="1"/>
    <xf numFmtId="0" fontId="5" fillId="0" borderId="42" xfId="0" applyFont="1" applyBorder="1"/>
    <xf numFmtId="1" fontId="5" fillId="0" borderId="37" xfId="0" applyNumberFormat="1" applyFont="1" applyBorder="1"/>
    <xf numFmtId="0" fontId="11" fillId="0" borderId="0" xfId="0" applyFont="1"/>
    <xf numFmtId="1" fontId="5" fillId="0" borderId="13" xfId="0" applyNumberFormat="1" applyFont="1" applyBorder="1"/>
    <xf numFmtId="1" fontId="5" fillId="0" borderId="14" xfId="0" applyNumberFormat="1" applyFont="1" applyBorder="1"/>
    <xf numFmtId="1" fontId="5" fillId="0" borderId="44" xfId="0" applyNumberFormat="1" applyFont="1" applyBorder="1"/>
    <xf numFmtId="168" fontId="0" fillId="7" borderId="14" xfId="0" applyNumberFormat="1" applyFill="1" applyBorder="1"/>
    <xf numFmtId="0" fontId="0" fillId="7" borderId="14" xfId="0" applyFill="1" applyBorder="1"/>
    <xf numFmtId="0" fontId="0" fillId="0" borderId="0" xfId="0" applyAlignment="1">
      <alignment horizontal="center"/>
    </xf>
    <xf numFmtId="1" fontId="5" fillId="0" borderId="19" xfId="0" applyNumberFormat="1" applyFont="1" applyBorder="1"/>
    <xf numFmtId="1" fontId="5" fillId="0" borderId="20" xfId="0" applyNumberFormat="1" applyFont="1" applyBorder="1"/>
    <xf numFmtId="1" fontId="5" fillId="0" borderId="32" xfId="0" applyNumberFormat="1" applyFont="1" applyBorder="1"/>
    <xf numFmtId="166" fontId="0" fillId="0" borderId="0" xfId="0" applyNumberFormat="1" applyAlignment="1">
      <alignment horizontal="center"/>
    </xf>
    <xf numFmtId="169" fontId="12" fillId="0" borderId="0" xfId="0" applyNumberFormat="1" applyFont="1" applyAlignment="1">
      <alignment horizontal="center"/>
    </xf>
    <xf numFmtId="0" fontId="10" fillId="0" borderId="30" xfId="0" applyFont="1" applyBorder="1"/>
    <xf numFmtId="0" fontId="10" fillId="0" borderId="34" xfId="0" applyFont="1" applyBorder="1"/>
    <xf numFmtId="1" fontId="6" fillId="0" borderId="23" xfId="0" applyNumberFormat="1" applyFont="1" applyBorder="1"/>
    <xf numFmtId="1" fontId="6" fillId="0" borderId="24" xfId="0" applyNumberFormat="1" applyFont="1" applyBorder="1"/>
    <xf numFmtId="1" fontId="6" fillId="0" borderId="25" xfId="0" applyNumberFormat="1" applyFont="1" applyBorder="1"/>
    <xf numFmtId="0" fontId="14" fillId="0" borderId="0" xfId="0" applyFont="1"/>
    <xf numFmtId="0" fontId="4" fillId="0" borderId="46" xfId="0" applyFont="1" applyBorder="1"/>
    <xf numFmtId="1" fontId="5" fillId="0" borderId="47" xfId="0" applyNumberFormat="1" applyFont="1" applyBorder="1"/>
    <xf numFmtId="1" fontId="5" fillId="0" borderId="5" xfId="0" applyNumberFormat="1" applyFont="1" applyBorder="1"/>
    <xf numFmtId="9" fontId="0" fillId="0" borderId="0" xfId="1" applyFont="1"/>
    <xf numFmtId="0" fontId="4" fillId="0" borderId="36" xfId="0" applyFont="1" applyBorder="1"/>
    <xf numFmtId="9" fontId="5" fillId="0" borderId="0" xfId="0" applyNumberFormat="1" applyFont="1"/>
    <xf numFmtId="1" fontId="5" fillId="0" borderId="48" xfId="0" applyNumberFormat="1" applyFont="1" applyBorder="1"/>
    <xf numFmtId="0" fontId="4" fillId="0" borderId="41" xfId="0" applyFont="1" applyBorder="1"/>
    <xf numFmtId="1" fontId="5" fillId="8" borderId="49" xfId="0" applyNumberFormat="1" applyFont="1" applyFill="1" applyBorder="1"/>
    <xf numFmtId="1" fontId="5" fillId="0" borderId="49" xfId="0" applyNumberFormat="1" applyFont="1" applyBorder="1"/>
    <xf numFmtId="1" fontId="5" fillId="0" borderId="50" xfId="0" applyNumberFormat="1" applyFont="1" applyBorder="1"/>
    <xf numFmtId="0" fontId="10" fillId="0" borderId="26" xfId="0" applyFont="1" applyBorder="1"/>
    <xf numFmtId="1" fontId="6" fillId="0" borderId="51" xfId="0" applyNumberFormat="1" applyFont="1" applyBorder="1"/>
    <xf numFmtId="0" fontId="4" fillId="0" borderId="38" xfId="0" applyFont="1" applyBorder="1"/>
    <xf numFmtId="167" fontId="5" fillId="0" borderId="38" xfId="0" applyNumberFormat="1" applyFont="1" applyBorder="1"/>
    <xf numFmtId="0" fontId="4" fillId="0" borderId="14" xfId="0" applyFont="1" applyBorder="1"/>
    <xf numFmtId="167" fontId="5" fillId="0" borderId="14" xfId="0" applyNumberFormat="1" applyFont="1" applyBorder="1"/>
    <xf numFmtId="0" fontId="0" fillId="0" borderId="14" xfId="0" applyBorder="1"/>
    <xf numFmtId="0" fontId="4" fillId="0" borderId="20" xfId="0" applyFont="1" applyBorder="1"/>
    <xf numFmtId="1" fontId="6" fillId="0" borderId="42" xfId="0" applyNumberFormat="1" applyFont="1" applyBorder="1"/>
    <xf numFmtId="0" fontId="5" fillId="0" borderId="13" xfId="0" applyFont="1" applyBorder="1"/>
    <xf numFmtId="0" fontId="5" fillId="0" borderId="44" xfId="0" applyFont="1" applyBorder="1"/>
    <xf numFmtId="9" fontId="5" fillId="0" borderId="0" xfId="1" applyFont="1"/>
    <xf numFmtId="0" fontId="7" fillId="0" borderId="52" xfId="0" applyFont="1" applyBorder="1"/>
    <xf numFmtId="0" fontId="5" fillId="0" borderId="47" xfId="0" applyFont="1" applyBorder="1"/>
    <xf numFmtId="0" fontId="5" fillId="0" borderId="1" xfId="0" applyFont="1" applyBorder="1"/>
    <xf numFmtId="0" fontId="5" fillId="0" borderId="52" xfId="0" applyFont="1" applyBorder="1"/>
    <xf numFmtId="0" fontId="9" fillId="0" borderId="11" xfId="0" applyFont="1" applyBorder="1" applyAlignment="1">
      <alignment horizontal="right"/>
    </xf>
    <xf numFmtId="0" fontId="5" fillId="0" borderId="36" xfId="0" applyFont="1" applyBorder="1"/>
    <xf numFmtId="0" fontId="15" fillId="9" borderId="0" xfId="0" applyFont="1" applyFill="1"/>
    <xf numFmtId="0" fontId="16" fillId="0" borderId="0" xfId="0" applyFont="1"/>
    <xf numFmtId="0" fontId="5" fillId="0" borderId="48" xfId="0" applyFont="1" applyBorder="1" applyAlignment="1">
      <alignment horizontal="right"/>
    </xf>
    <xf numFmtId="0" fontId="17" fillId="0" borderId="11" xfId="0" applyFont="1" applyBorder="1" applyAlignment="1">
      <alignment horizontal="right"/>
    </xf>
    <xf numFmtId="0" fontId="1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48" xfId="0" applyFont="1" applyBorder="1"/>
    <xf numFmtId="0" fontId="5" fillId="0" borderId="11" xfId="0" applyFont="1" applyBorder="1"/>
    <xf numFmtId="0" fontId="5" fillId="0" borderId="0" xfId="0" applyFont="1" applyAlignment="1">
      <alignment horizontal="center"/>
    </xf>
    <xf numFmtId="0" fontId="5" fillId="0" borderId="10" xfId="0" applyFont="1" applyBorder="1"/>
    <xf numFmtId="0" fontId="5" fillId="0" borderId="54" xfId="0" applyFont="1" applyBorder="1"/>
    <xf numFmtId="0" fontId="8" fillId="0" borderId="55" xfId="0" applyFont="1" applyBorder="1" applyAlignment="1">
      <alignment horizontal="center"/>
    </xf>
    <xf numFmtId="3" fontId="15" fillId="9" borderId="27" xfId="0" applyNumberFormat="1" applyFont="1" applyFill="1" applyBorder="1" applyAlignment="1">
      <alignment horizontal="center"/>
    </xf>
    <xf numFmtId="0" fontId="5" fillId="0" borderId="22" xfId="0" applyFont="1" applyBorder="1"/>
    <xf numFmtId="0" fontId="18" fillId="0" borderId="53" xfId="0" applyFont="1" applyBorder="1" applyAlignment="1">
      <alignment horizontal="center"/>
    </xf>
    <xf numFmtId="0" fontId="5" fillId="0" borderId="0" xfId="0" applyFont="1" applyAlignment="1">
      <alignment horizontal="right"/>
    </xf>
    <xf numFmtId="166" fontId="5" fillId="0" borderId="27" xfId="0" applyNumberFormat="1" applyFont="1" applyBorder="1"/>
    <xf numFmtId="166" fontId="5" fillId="0" borderId="42" xfId="0" applyNumberFormat="1" applyFont="1" applyBorder="1"/>
    <xf numFmtId="0" fontId="5" fillId="0" borderId="41" xfId="0" applyFont="1" applyBorder="1"/>
    <xf numFmtId="0" fontId="5" fillId="0" borderId="49" xfId="0" applyFont="1" applyBorder="1"/>
    <xf numFmtId="0" fontId="5" fillId="0" borderId="50" xfId="0" applyFont="1" applyBorder="1"/>
    <xf numFmtId="0" fontId="20" fillId="0" borderId="49" xfId="0" applyFont="1" applyBorder="1"/>
    <xf numFmtId="0" fontId="20" fillId="0" borderId="49" xfId="0" applyFont="1" applyBorder="1" applyAlignment="1">
      <alignment horizontal="center"/>
    </xf>
    <xf numFmtId="0" fontId="5" fillId="0" borderId="46" xfId="0" applyFont="1" applyBorder="1"/>
    <xf numFmtId="0" fontId="22" fillId="0" borderId="49" xfId="0" applyFont="1" applyBorder="1" applyAlignment="1">
      <alignment horizontal="center"/>
    </xf>
    <xf numFmtId="0" fontId="5" fillId="0" borderId="5" xfId="0" applyFont="1" applyBorder="1"/>
    <xf numFmtId="0" fontId="22" fillId="0" borderId="0" xfId="0" applyFont="1" applyAlignment="1">
      <alignment horizontal="center"/>
    </xf>
    <xf numFmtId="0" fontId="21" fillId="0" borderId="0" xfId="0" applyFont="1"/>
    <xf numFmtId="0" fontId="5" fillId="0" borderId="0" xfId="0" quotePrefix="1" applyFont="1"/>
    <xf numFmtId="0" fontId="24" fillId="0" borderId="0" xfId="0" applyFont="1"/>
    <xf numFmtId="0" fontId="18" fillId="0" borderId="36" xfId="0" applyFont="1" applyBorder="1"/>
    <xf numFmtId="0" fontId="6" fillId="0" borderId="1" xfId="0" applyFont="1" applyBorder="1"/>
    <xf numFmtId="0" fontId="6" fillId="0" borderId="52" xfId="0" applyFont="1" applyBorder="1"/>
    <xf numFmtId="0" fontId="0" fillId="0" borderId="49" xfId="0" applyBorder="1"/>
    <xf numFmtId="9" fontId="21" fillId="0" borderId="0" xfId="1" applyFont="1" applyBorder="1" applyAlignment="1">
      <alignment horizontal="center"/>
    </xf>
    <xf numFmtId="9" fontId="21" fillId="0" borderId="0" xfId="1" applyFont="1" applyBorder="1"/>
    <xf numFmtId="9" fontId="25" fillId="0" borderId="0" xfId="1" applyFont="1" applyBorder="1"/>
    <xf numFmtId="0" fontId="21" fillId="0" borderId="0" xfId="1" applyNumberFormat="1" applyFont="1" applyBorder="1"/>
    <xf numFmtId="0" fontId="25" fillId="0" borderId="0" xfId="1" applyNumberFormat="1" applyFont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7" xfId="0" applyFont="1" applyBorder="1"/>
    <xf numFmtId="0" fontId="0" fillId="0" borderId="8" xfId="0" applyBorder="1"/>
    <xf numFmtId="0" fontId="0" fillId="0" borderId="18" xfId="0" applyBorder="1"/>
    <xf numFmtId="0" fontId="0" fillId="0" borderId="13" xfId="0" applyBorder="1"/>
    <xf numFmtId="168" fontId="0" fillId="0" borderId="44" xfId="0" applyNumberFormat="1" applyBorder="1"/>
    <xf numFmtId="0" fontId="0" fillId="0" borderId="23" xfId="0" applyBorder="1"/>
    <xf numFmtId="3" fontId="0" fillId="0" borderId="24" xfId="0" applyNumberFormat="1" applyBorder="1"/>
    <xf numFmtId="3" fontId="0" fillId="0" borderId="25" xfId="0" applyNumberFormat="1" applyBorder="1"/>
    <xf numFmtId="0" fontId="0" fillId="0" borderId="52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0" fontId="0" fillId="0" borderId="14" xfId="0" applyNumberFormat="1" applyBorder="1"/>
    <xf numFmtId="170" fontId="0" fillId="0" borderId="15" xfId="0" applyNumberFormat="1" applyBorder="1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2" fontId="0" fillId="0" borderId="0" xfId="0" applyNumberFormat="1"/>
    <xf numFmtId="0" fontId="3" fillId="0" borderId="0" xfId="0" applyFont="1"/>
    <xf numFmtId="168" fontId="3" fillId="0" borderId="0" xfId="0" applyNumberFormat="1" applyFont="1"/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9" fontId="0" fillId="6" borderId="3" xfId="0" applyNumberFormat="1" applyFill="1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166" fontId="14" fillId="0" borderId="14" xfId="0" applyNumberFormat="1" applyFont="1" applyBorder="1" applyAlignment="1" applyProtection="1">
      <alignment horizontal="center"/>
      <protection locked="0"/>
    </xf>
    <xf numFmtId="0" fontId="0" fillId="11" borderId="14" xfId="0" applyFill="1" applyBorder="1"/>
    <xf numFmtId="0" fontId="0" fillId="11" borderId="20" xfId="0" applyFill="1" applyBorder="1"/>
    <xf numFmtId="0" fontId="0" fillId="12" borderId="43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58" xfId="0" applyFill="1" applyBorder="1"/>
    <xf numFmtId="0" fontId="0" fillId="13" borderId="14" xfId="0" applyFill="1" applyBorder="1" applyAlignment="1">
      <alignment horizontal="left" vertical="center"/>
    </xf>
    <xf numFmtId="0" fontId="0" fillId="10" borderId="60" xfId="0" applyFill="1" applyBorder="1" applyAlignment="1">
      <alignment horizontal="center" vertical="center" wrapText="1"/>
    </xf>
    <xf numFmtId="0" fontId="14" fillId="0" borderId="37" xfId="0" applyFont="1" applyBorder="1" applyProtection="1">
      <protection locked="0"/>
    </xf>
    <xf numFmtId="0" fontId="23" fillId="0" borderId="61" xfId="0" applyFont="1" applyBorder="1" applyProtection="1">
      <protection locked="0"/>
    </xf>
    <xf numFmtId="0" fontId="0" fillId="0" borderId="38" xfId="0" applyBorder="1"/>
    <xf numFmtId="170" fontId="0" fillId="0" borderId="61" xfId="0" applyNumberFormat="1" applyBorder="1"/>
    <xf numFmtId="9" fontId="0" fillId="0" borderId="57" xfId="1" applyFont="1" applyBorder="1"/>
    <xf numFmtId="0" fontId="14" fillId="0" borderId="13" xfId="0" applyFont="1" applyBorder="1" applyProtection="1">
      <protection locked="0"/>
    </xf>
    <xf numFmtId="0" fontId="23" fillId="0" borderId="15" xfId="0" applyFont="1" applyBorder="1" applyProtection="1">
      <protection locked="0"/>
    </xf>
    <xf numFmtId="0" fontId="0" fillId="12" borderId="29" xfId="0" applyFill="1" applyBorder="1"/>
    <xf numFmtId="0" fontId="0" fillId="12" borderId="20" xfId="0" applyFill="1" applyBorder="1"/>
    <xf numFmtId="0" fontId="14" fillId="0" borderId="23" xfId="0" applyFont="1" applyBorder="1" applyProtection="1">
      <protection locked="0"/>
    </xf>
    <xf numFmtId="0" fontId="23" fillId="0" borderId="56" xfId="0" applyFont="1" applyBorder="1" applyProtection="1">
      <protection locked="0"/>
    </xf>
    <xf numFmtId="0" fontId="27" fillId="0" borderId="0" xfId="0" applyFont="1"/>
    <xf numFmtId="0" fontId="28" fillId="0" borderId="0" xfId="0" applyFont="1" applyAlignment="1">
      <alignment horizontal="right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67" fontId="3" fillId="0" borderId="14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6" fillId="0" borderId="0" xfId="0" applyFont="1" applyAlignment="1">
      <alignment horizontal="right"/>
    </xf>
    <xf numFmtId="3" fontId="14" fillId="0" borderId="14" xfId="0" applyNumberFormat="1" applyFont="1" applyBorder="1" applyAlignment="1">
      <alignment horizontal="center"/>
    </xf>
    <xf numFmtId="0" fontId="29" fillId="0" borderId="0" xfId="0" applyFont="1" applyAlignment="1">
      <alignment horizontal="right"/>
    </xf>
    <xf numFmtId="0" fontId="30" fillId="0" borderId="0" xfId="0" applyFont="1"/>
    <xf numFmtId="0" fontId="10" fillId="0" borderId="30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11" fillId="0" borderId="3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1" fillId="0" borderId="15" xfId="0" applyFont="1" applyBorder="1" applyAlignment="1">
      <alignment horizontal="center"/>
    </xf>
    <xf numFmtId="9" fontId="11" fillId="0" borderId="15" xfId="1" applyFont="1" applyFill="1" applyBorder="1" applyAlignment="1">
      <alignment horizontal="center"/>
    </xf>
    <xf numFmtId="0" fontId="11" fillId="0" borderId="15" xfId="0" applyFont="1" applyBorder="1" applyAlignment="1">
      <alignment horizontal="left"/>
    </xf>
    <xf numFmtId="9" fontId="31" fillId="0" borderId="0" xfId="0" applyNumberFormat="1" applyFont="1"/>
    <xf numFmtId="0" fontId="31" fillId="0" borderId="45" xfId="0" applyFont="1" applyBorder="1" applyAlignment="1">
      <alignment horizontal="center" vertical="center"/>
    </xf>
    <xf numFmtId="0" fontId="32" fillId="0" borderId="0" xfId="0" applyFont="1"/>
    <xf numFmtId="9" fontId="32" fillId="0" borderId="0" xfId="0" applyNumberFormat="1" applyFont="1"/>
    <xf numFmtId="0" fontId="33" fillId="0" borderId="0" xfId="0" applyFont="1" applyAlignment="1">
      <alignment horizontal="centerContinuous"/>
    </xf>
    <xf numFmtId="0" fontId="33" fillId="0" borderId="0" xfId="0" applyFont="1" applyAlignment="1">
      <alignment horizontal="centerContinuous" wrapText="1"/>
    </xf>
    <xf numFmtId="166" fontId="0" fillId="11" borderId="14" xfId="0" applyNumberFormat="1" applyFill="1" applyBorder="1"/>
    <xf numFmtId="166" fontId="0" fillId="11" borderId="20" xfId="0" applyNumberFormat="1" applyFill="1" applyBorder="1"/>
    <xf numFmtId="166" fontId="0" fillId="12" borderId="58" xfId="0" applyNumberFormat="1" applyFill="1" applyBorder="1"/>
    <xf numFmtId="166" fontId="0" fillId="12" borderId="29" xfId="0" applyNumberFormat="1" applyFill="1" applyBorder="1"/>
    <xf numFmtId="166" fontId="0" fillId="12" borderId="43" xfId="0" applyNumberFormat="1" applyFill="1" applyBorder="1"/>
    <xf numFmtId="166" fontId="0" fillId="12" borderId="38" xfId="0" applyNumberFormat="1" applyFill="1" applyBorder="1"/>
    <xf numFmtId="166" fontId="0" fillId="12" borderId="14" xfId="0" applyNumberFormat="1" applyFill="1" applyBorder="1"/>
    <xf numFmtId="166" fontId="0" fillId="12" borderId="20" xfId="0" applyNumberFormat="1" applyFill="1" applyBorder="1"/>
    <xf numFmtId="166" fontId="3" fillId="0" borderId="29" xfId="0" applyNumberFormat="1" applyFont="1" applyBorder="1"/>
    <xf numFmtId="0" fontId="0" fillId="0" borderId="1" xfId="0" applyBorder="1"/>
    <xf numFmtId="0" fontId="6" fillId="0" borderId="0" xfId="0" applyFont="1"/>
    <xf numFmtId="0" fontId="25" fillId="0" borderId="0" xfId="0" applyFont="1"/>
    <xf numFmtId="0" fontId="19" fillId="0" borderId="0" xfId="0" applyFont="1"/>
    <xf numFmtId="0" fontId="18" fillId="0" borderId="0" xfId="0" applyFont="1"/>
    <xf numFmtId="9" fontId="5" fillId="0" borderId="0" xfId="1" applyFont="1" applyBorder="1"/>
    <xf numFmtId="1" fontId="25" fillId="0" borderId="0" xfId="0" applyNumberFormat="1" applyFont="1"/>
    <xf numFmtId="9" fontId="25" fillId="0" borderId="0" xfId="0" applyNumberFormat="1" applyFont="1"/>
    <xf numFmtId="0" fontId="3" fillId="0" borderId="11" xfId="0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166" fontId="0" fillId="0" borderId="0" xfId="0" applyNumberFormat="1" applyAlignment="1">
      <alignment horizontal="right"/>
    </xf>
    <xf numFmtId="0" fontId="0" fillId="5" borderId="15" xfId="0" applyFill="1" applyBorder="1"/>
    <xf numFmtId="0" fontId="0" fillId="5" borderId="43" xfId="0" applyFill="1" applyBorder="1"/>
    <xf numFmtId="168" fontId="3" fillId="5" borderId="14" xfId="0" applyNumberFormat="1" applyFont="1" applyFill="1" applyBorder="1"/>
    <xf numFmtId="168" fontId="0" fillId="5" borderId="14" xfId="0" applyNumberFormat="1" applyFill="1" applyBorder="1"/>
    <xf numFmtId="172" fontId="0" fillId="0" borderId="13" xfId="0" applyNumberFormat="1" applyBorder="1"/>
    <xf numFmtId="0" fontId="34" fillId="0" borderId="47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19" fillId="0" borderId="47" xfId="0" applyFont="1" applyBorder="1" applyAlignment="1">
      <alignment horizontal="center"/>
    </xf>
    <xf numFmtId="0" fontId="0" fillId="0" borderId="58" xfId="0" applyBorder="1"/>
    <xf numFmtId="9" fontId="11" fillId="0" borderId="15" xfId="1" applyFont="1" applyBorder="1" applyAlignment="1">
      <alignment horizontal="center"/>
    </xf>
    <xf numFmtId="9" fontId="35" fillId="3" borderId="0" xfId="0" applyNumberFormat="1" applyFont="1" applyFill="1"/>
    <xf numFmtId="0" fontId="0" fillId="14" borderId="0" xfId="0" applyFill="1"/>
    <xf numFmtId="0" fontId="5" fillId="0" borderId="0" xfId="0" applyFont="1" applyAlignment="1">
      <alignment horizontal="center" vertical="center" wrapText="1"/>
    </xf>
    <xf numFmtId="0" fontId="0" fillId="0" borderId="65" xfId="0" applyBorder="1"/>
    <xf numFmtId="0" fontId="0" fillId="0" borderId="65" xfId="0" applyBorder="1" applyAlignment="1">
      <alignment horizontal="center" vertical="center" wrapText="1"/>
    </xf>
    <xf numFmtId="166" fontId="13" fillId="15" borderId="67" xfId="0" applyNumberFormat="1" applyFont="1" applyFill="1" applyBorder="1" applyAlignment="1">
      <alignment vertical="center" wrapText="1"/>
    </xf>
    <xf numFmtId="2" fontId="3" fillId="0" borderId="65" xfId="0" applyNumberFormat="1" applyFont="1" applyBorder="1"/>
    <xf numFmtId="0" fontId="0" fillId="10" borderId="68" xfId="0" applyFill="1" applyBorder="1" applyAlignment="1">
      <alignment horizontal="center" vertical="center" wrapText="1"/>
    </xf>
    <xf numFmtId="166" fontId="0" fillId="11" borderId="67" xfId="0" applyNumberFormat="1" applyFill="1" applyBorder="1"/>
    <xf numFmtId="166" fontId="0" fillId="11" borderId="69" xfId="0" applyNumberFormat="1" applyFill="1" applyBorder="1"/>
    <xf numFmtId="166" fontId="0" fillId="12" borderId="67" xfId="0" applyNumberFormat="1" applyFill="1" applyBorder="1"/>
    <xf numFmtId="166" fontId="3" fillId="0" borderId="70" xfId="0" applyNumberFormat="1" applyFont="1" applyBorder="1"/>
    <xf numFmtId="0" fontId="8" fillId="0" borderId="11" xfId="0" applyFont="1" applyBorder="1" applyAlignment="1">
      <alignment horizontal="right"/>
    </xf>
    <xf numFmtId="168" fontId="14" fillId="0" borderId="0" xfId="0" applyNumberFormat="1" applyFont="1"/>
    <xf numFmtId="9" fontId="2" fillId="0" borderId="0" xfId="0" applyNumberFormat="1" applyFont="1"/>
    <xf numFmtId="0" fontId="0" fillId="0" borderId="20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38" xfId="0" applyBorder="1" applyAlignment="1">
      <alignment vertical="center"/>
    </xf>
    <xf numFmtId="0" fontId="36" fillId="0" borderId="20" xfId="0" applyFont="1" applyBorder="1" applyAlignment="1">
      <alignment vertical="center"/>
    </xf>
    <xf numFmtId="0" fontId="36" fillId="0" borderId="45" xfId="0" applyFont="1" applyBorder="1" applyAlignment="1">
      <alignment vertical="center"/>
    </xf>
    <xf numFmtId="9" fontId="30" fillId="0" borderId="0" xfId="0" applyNumberFormat="1" applyFont="1"/>
    <xf numFmtId="0" fontId="11" fillId="0" borderId="38" xfId="0" applyFont="1" applyBorder="1" applyAlignment="1">
      <alignment vertical="center"/>
    </xf>
    <xf numFmtId="168" fontId="3" fillId="16" borderId="14" xfId="0" applyNumberFormat="1" applyFont="1" applyFill="1" applyBorder="1"/>
    <xf numFmtId="168" fontId="37" fillId="0" borderId="14" xfId="0" applyNumberFormat="1" applyFont="1" applyBorder="1"/>
    <xf numFmtId="0" fontId="0" fillId="17" borderId="0" xfId="0" applyFill="1"/>
    <xf numFmtId="168" fontId="13" fillId="15" borderId="0" xfId="0" applyNumberFormat="1" applyFont="1" applyFill="1"/>
    <xf numFmtId="0" fontId="38" fillId="0" borderId="0" xfId="0" applyFont="1"/>
    <xf numFmtId="0" fontId="39" fillId="5" borderId="20" xfId="0" applyFont="1" applyFill="1" applyBorder="1"/>
    <xf numFmtId="0" fontId="27" fillId="18" borderId="14" xfId="0" applyFont="1" applyFill="1" applyBorder="1" applyAlignment="1">
      <alignment horizontal="left" vertical="center"/>
    </xf>
    <xf numFmtId="0" fontId="39" fillId="0" borderId="14" xfId="0" quotePrefix="1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0" fontId="39" fillId="5" borderId="45" xfId="0" applyFont="1" applyFill="1" applyBorder="1"/>
    <xf numFmtId="0" fontId="27" fillId="19" borderId="15" xfId="0" applyFont="1" applyFill="1" applyBorder="1" applyAlignment="1">
      <alignment vertical="center"/>
    </xf>
    <xf numFmtId="0" fontId="27" fillId="5" borderId="45" xfId="0" applyFont="1" applyFill="1" applyBorder="1" applyAlignment="1">
      <alignment horizontal="center" wrapText="1"/>
    </xf>
    <xf numFmtId="0" fontId="27" fillId="21" borderId="15" xfId="0" applyFont="1" applyFill="1" applyBorder="1" applyAlignment="1">
      <alignment vertical="center"/>
    </xf>
    <xf numFmtId="0" fontId="40" fillId="20" borderId="38" xfId="0" applyFont="1" applyFill="1" applyBorder="1" applyAlignment="1">
      <alignment horizontal="center" vertical="center"/>
    </xf>
    <xf numFmtId="0" fontId="39" fillId="5" borderId="38" xfId="0" applyFont="1" applyFill="1" applyBorder="1"/>
    <xf numFmtId="0" fontId="27" fillId="15" borderId="15" xfId="0" applyFont="1" applyFill="1" applyBorder="1" applyAlignment="1">
      <alignment vertical="center"/>
    </xf>
    <xf numFmtId="0" fontId="41" fillId="0" borderId="65" xfId="0" applyFont="1" applyBorder="1"/>
    <xf numFmtId="0" fontId="0" fillId="0" borderId="72" xfId="0" applyBorder="1"/>
    <xf numFmtId="0" fontId="0" fillId="0" borderId="73" xfId="0" applyBorder="1"/>
    <xf numFmtId="0" fontId="0" fillId="7" borderId="65" xfId="0" applyFill="1" applyBorder="1"/>
    <xf numFmtId="0" fontId="0" fillId="7" borderId="0" xfId="0" applyFill="1"/>
    <xf numFmtId="0" fontId="0" fillId="7" borderId="71" xfId="0" applyFill="1" applyBorder="1"/>
    <xf numFmtId="0" fontId="0" fillId="7" borderId="74" xfId="0" applyFill="1" applyBorder="1"/>
    <xf numFmtId="166" fontId="0" fillId="12" borderId="11" xfId="0" applyNumberFormat="1" applyFill="1" applyBorder="1"/>
    <xf numFmtId="0" fontId="0" fillId="12" borderId="0" xfId="0" applyFill="1"/>
    <xf numFmtId="170" fontId="0" fillId="11" borderId="43" xfId="0" applyNumberFormat="1" applyFill="1" applyBorder="1"/>
    <xf numFmtId="170" fontId="0" fillId="11" borderId="14" xfId="0" applyNumberFormat="1" applyFill="1" applyBorder="1"/>
    <xf numFmtId="170" fontId="0" fillId="11" borderId="59" xfId="0" applyNumberFormat="1" applyFill="1" applyBorder="1"/>
    <xf numFmtId="170" fontId="0" fillId="11" borderId="20" xfId="0" applyNumberFormat="1" applyFill="1" applyBorder="1"/>
    <xf numFmtId="170" fontId="0" fillId="12" borderId="58" xfId="0" applyNumberFormat="1" applyFill="1" applyBorder="1"/>
    <xf numFmtId="170" fontId="0" fillId="12" borderId="29" xfId="0" applyNumberFormat="1" applyFill="1" applyBorder="1"/>
    <xf numFmtId="170" fontId="0" fillId="12" borderId="43" xfId="0" applyNumberFormat="1" applyFill="1" applyBorder="1"/>
    <xf numFmtId="170" fontId="0" fillId="12" borderId="38" xfId="0" applyNumberFormat="1" applyFill="1" applyBorder="1"/>
    <xf numFmtId="170" fontId="0" fillId="12" borderId="14" xfId="0" applyNumberFormat="1" applyFill="1" applyBorder="1"/>
    <xf numFmtId="170" fontId="0" fillId="12" borderId="20" xfId="0" applyNumberFormat="1" applyFill="1" applyBorder="1"/>
    <xf numFmtId="0" fontId="0" fillId="10" borderId="76" xfId="0" applyFill="1" applyBorder="1" applyAlignment="1">
      <alignment horizontal="center" vertical="center" wrapText="1"/>
    </xf>
    <xf numFmtId="171" fontId="0" fillId="0" borderId="43" xfId="0" applyNumberFormat="1" applyBorder="1" applyAlignment="1">
      <alignment horizontal="center"/>
    </xf>
    <xf numFmtId="171" fontId="0" fillId="0" borderId="14" xfId="0" applyNumberFormat="1" applyBorder="1"/>
    <xf numFmtId="173" fontId="26" fillId="0" borderId="0" xfId="0" applyNumberFormat="1" applyFont="1" applyAlignment="1">
      <alignment horizontal="center"/>
    </xf>
    <xf numFmtId="0" fontId="42" fillId="15" borderId="0" xfId="0" applyFont="1" applyFill="1"/>
    <xf numFmtId="0" fontId="12" fillId="0" borderId="0" xfId="0" applyFont="1"/>
    <xf numFmtId="0" fontId="43" fillId="0" borderId="0" xfId="0" applyFont="1" applyAlignment="1">
      <alignment horizontal="left"/>
    </xf>
    <xf numFmtId="168" fontId="44" fillId="0" borderId="14" xfId="0" applyNumberFormat="1" applyFont="1" applyBorder="1"/>
    <xf numFmtId="0" fontId="17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2" fontId="26" fillId="0" borderId="0" xfId="0" applyNumberFormat="1" applyFont="1"/>
    <xf numFmtId="0" fontId="45" fillId="0" borderId="0" xfId="0" applyFont="1" applyAlignment="1">
      <alignment horizontal="right"/>
    </xf>
    <xf numFmtId="3" fontId="0" fillId="0" borderId="0" xfId="0" applyNumberFormat="1"/>
    <xf numFmtId="0" fontId="46" fillId="0" borderId="0" xfId="0" applyFont="1"/>
    <xf numFmtId="0" fontId="15" fillId="0" borderId="47" xfId="0" applyFont="1" applyBorder="1" applyAlignment="1">
      <alignment horizontal="left"/>
    </xf>
    <xf numFmtId="0" fontId="0" fillId="0" borderId="47" xfId="0" applyBorder="1"/>
    <xf numFmtId="0" fontId="0" fillId="0" borderId="5" xfId="0" applyBorder="1"/>
    <xf numFmtId="174" fontId="19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166" fontId="5" fillId="0" borderId="14" xfId="0" applyNumberFormat="1" applyFon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5" fillId="0" borderId="44" xfId="0" applyNumberFormat="1" applyFont="1" applyBorder="1" applyAlignment="1">
      <alignment horizontal="center"/>
    </xf>
    <xf numFmtId="0" fontId="0" fillId="0" borderId="48" xfId="0" applyBorder="1"/>
    <xf numFmtId="0" fontId="5" fillId="0" borderId="47" xfId="0" applyFont="1" applyBorder="1" applyAlignment="1">
      <alignment horizontal="center"/>
    </xf>
    <xf numFmtId="1" fontId="14" fillId="0" borderId="0" xfId="0" applyNumberFormat="1" applyFont="1"/>
    <xf numFmtId="175" fontId="0" fillId="0" borderId="14" xfId="0" applyNumberForma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6" fillId="0" borderId="52" xfId="0" applyFont="1" applyBorder="1" applyAlignment="1">
      <alignment horizontal="centerContinuous"/>
    </xf>
    <xf numFmtId="0" fontId="6" fillId="0" borderId="5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5" xfId="0" applyFont="1" applyBorder="1" applyAlignment="1">
      <alignment horizontal="right"/>
    </xf>
    <xf numFmtId="0" fontId="0" fillId="0" borderId="46" xfId="0" applyBorder="1"/>
    <xf numFmtId="0" fontId="6" fillId="0" borderId="47" xfId="0" applyFont="1" applyBorder="1"/>
    <xf numFmtId="0" fontId="24" fillId="9" borderId="47" xfId="0" applyFont="1" applyFill="1" applyBorder="1" applyAlignment="1">
      <alignment horizontal="left"/>
    </xf>
    <xf numFmtId="0" fontId="0" fillId="9" borderId="47" xfId="0" applyFill="1" applyBorder="1"/>
    <xf numFmtId="0" fontId="5" fillId="0" borderId="47" xfId="0" applyFont="1" applyBorder="1" applyAlignment="1">
      <alignment horizontal="right"/>
    </xf>
    <xf numFmtId="0" fontId="0" fillId="0" borderId="36" xfId="0" applyBorder="1"/>
    <xf numFmtId="0" fontId="5" fillId="9" borderId="0" xfId="0" applyFont="1" applyFill="1"/>
    <xf numFmtId="0" fontId="0" fillId="9" borderId="1" xfId="0" applyFill="1" applyBorder="1"/>
    <xf numFmtId="0" fontId="0" fillId="9" borderId="52" xfId="0" applyFill="1" applyBorder="1"/>
    <xf numFmtId="0" fontId="3" fillId="9" borderId="11" xfId="0" applyFont="1" applyFill="1" applyBorder="1" applyAlignment="1">
      <alignment horizontal="right"/>
    </xf>
    <xf numFmtId="168" fontId="19" fillId="0" borderId="52" xfId="0" applyNumberFormat="1" applyFont="1" applyBorder="1"/>
    <xf numFmtId="0" fontId="19" fillId="0" borderId="11" xfId="0" applyFont="1" applyBorder="1"/>
    <xf numFmtId="0" fontId="33" fillId="0" borderId="1" xfId="0" applyFont="1" applyBorder="1"/>
    <xf numFmtId="168" fontId="19" fillId="0" borderId="52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5" fillId="0" borderId="4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9" fontId="19" fillId="0" borderId="14" xfId="0" applyNumberFormat="1" applyFont="1" applyBorder="1"/>
    <xf numFmtId="9" fontId="19" fillId="0" borderId="3" xfId="0" applyNumberFormat="1" applyFont="1" applyBorder="1" applyAlignment="1">
      <alignment horizontal="center"/>
    </xf>
    <xf numFmtId="9" fontId="47" fillId="0" borderId="3" xfId="0" applyNumberFormat="1" applyFont="1" applyBorder="1" applyAlignment="1">
      <alignment horizontal="center"/>
    </xf>
    <xf numFmtId="1" fontId="19" fillId="0" borderId="14" xfId="0" applyNumberFormat="1" applyFont="1" applyBorder="1"/>
    <xf numFmtId="0" fontId="0" fillId="0" borderId="41" xfId="0" applyBorder="1"/>
    <xf numFmtId="0" fontId="19" fillId="0" borderId="47" xfId="0" applyFont="1" applyBorder="1" applyAlignment="1">
      <alignment horizontal="right"/>
    </xf>
    <xf numFmtId="0" fontId="19" fillId="0" borderId="47" xfId="0" applyFont="1" applyBorder="1"/>
    <xf numFmtId="0" fontId="21" fillId="0" borderId="5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49" xfId="0" applyFont="1" applyBorder="1"/>
    <xf numFmtId="0" fontId="0" fillId="0" borderId="47" xfId="0" quotePrefix="1" applyBorder="1"/>
    <xf numFmtId="0" fontId="27" fillId="18" borderId="14" xfId="0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0" fontId="27" fillId="3" borderId="38" xfId="0" applyFont="1" applyFill="1" applyBorder="1" applyAlignment="1">
      <alignment horizontal="center" vertical="center"/>
    </xf>
    <xf numFmtId="0" fontId="48" fillId="20" borderId="20" xfId="0" applyFont="1" applyFill="1" applyBorder="1" applyAlignment="1">
      <alignment horizontal="center" vertical="center"/>
    </xf>
    <xf numFmtId="0" fontId="48" fillId="20" borderId="45" xfId="0" applyFont="1" applyFill="1" applyBorder="1" applyAlignment="1">
      <alignment horizontal="center" vertical="center"/>
    </xf>
    <xf numFmtId="0" fontId="39" fillId="0" borderId="0" xfId="0" applyFont="1"/>
    <xf numFmtId="0" fontId="2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7" fillId="19" borderId="15" xfId="0" applyFont="1" applyFill="1" applyBorder="1" applyAlignment="1">
      <alignment horizontal="center" vertical="center"/>
    </xf>
    <xf numFmtId="0" fontId="27" fillId="21" borderId="15" xfId="0" applyFont="1" applyFill="1" applyBorder="1" applyAlignment="1">
      <alignment horizontal="center" vertical="center"/>
    </xf>
    <xf numFmtId="0" fontId="27" fillId="15" borderId="15" xfId="0" applyFont="1" applyFill="1" applyBorder="1" applyAlignment="1">
      <alignment horizontal="center" vertical="center"/>
    </xf>
    <xf numFmtId="0" fontId="27" fillId="0" borderId="65" xfId="0" applyFont="1" applyBorder="1"/>
    <xf numFmtId="0" fontId="39" fillId="15" borderId="0" xfId="0" applyFont="1" applyFill="1"/>
    <xf numFmtId="0" fontId="39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0" fontId="39" fillId="5" borderId="65" xfId="0" applyFont="1" applyFill="1" applyBorder="1"/>
    <xf numFmtId="0" fontId="39" fillId="5" borderId="65" xfId="0" applyFont="1" applyFill="1" applyBorder="1" applyAlignment="1">
      <alignment horizontal="center"/>
    </xf>
    <xf numFmtId="0" fontId="39" fillId="5" borderId="72" xfId="0" applyFont="1" applyFill="1" applyBorder="1"/>
    <xf numFmtId="0" fontId="39" fillId="7" borderId="65" xfId="0" applyFont="1" applyFill="1" applyBorder="1"/>
    <xf numFmtId="0" fontId="27" fillId="5" borderId="71" xfId="0" applyFont="1" applyFill="1" applyBorder="1"/>
    <xf numFmtId="0" fontId="39" fillId="0" borderId="65" xfId="0" applyFont="1" applyBorder="1"/>
    <xf numFmtId="0" fontId="50" fillId="0" borderId="65" xfId="0" applyFont="1" applyBorder="1"/>
    <xf numFmtId="0" fontId="0" fillId="5" borderId="65" xfId="0" applyFill="1" applyBorder="1"/>
    <xf numFmtId="0" fontId="51" fillId="0" borderId="0" xfId="0" applyFont="1"/>
    <xf numFmtId="0" fontId="51" fillId="0" borderId="14" xfId="0" applyFont="1" applyBorder="1"/>
    <xf numFmtId="0" fontId="51" fillId="0" borderId="43" xfId="0" applyFont="1" applyBorder="1"/>
    <xf numFmtId="0" fontId="51" fillId="0" borderId="77" xfId="0" applyFont="1" applyBorder="1"/>
    <xf numFmtId="9" fontId="51" fillId="0" borderId="77" xfId="0" applyNumberFormat="1" applyFont="1" applyBorder="1"/>
    <xf numFmtId="0" fontId="53" fillId="0" borderId="0" xfId="0" applyFont="1"/>
    <xf numFmtId="0" fontId="51" fillId="0" borderId="0" xfId="0" applyFont="1" applyAlignment="1">
      <alignment horizontal="right"/>
    </xf>
    <xf numFmtId="168" fontId="51" fillId="0" borderId="77" xfId="0" applyNumberFormat="1" applyFont="1" applyBorder="1" applyAlignment="1">
      <alignment horizontal="right"/>
    </xf>
    <xf numFmtId="166" fontId="51" fillId="6" borderId="77" xfId="0" applyNumberFormat="1" applyFont="1" applyFill="1" applyBorder="1" applyAlignment="1">
      <alignment horizontal="right"/>
    </xf>
    <xf numFmtId="0" fontId="0" fillId="6" borderId="0" xfId="0" applyFill="1" applyAlignment="1">
      <alignment horizontal="center"/>
    </xf>
    <xf numFmtId="168" fontId="51" fillId="0" borderId="43" xfId="0" applyNumberFormat="1" applyFont="1" applyBorder="1" applyAlignment="1">
      <alignment horizontal="right"/>
    </xf>
    <xf numFmtId="168" fontId="51" fillId="0" borderId="43" xfId="0" applyNumberFormat="1" applyFont="1" applyBorder="1"/>
    <xf numFmtId="168" fontId="51" fillId="0" borderId="77" xfId="0" applyNumberFormat="1" applyFont="1" applyBorder="1"/>
    <xf numFmtId="168" fontId="51" fillId="0" borderId="0" xfId="0" applyNumberFormat="1" applyFont="1"/>
    <xf numFmtId="168" fontId="54" fillId="0" borderId="77" xfId="0" applyNumberFormat="1" applyFont="1" applyBorder="1" applyAlignment="1">
      <alignment horizontal="right"/>
    </xf>
    <xf numFmtId="168" fontId="54" fillId="6" borderId="77" xfId="0" applyNumberFormat="1" applyFont="1" applyFill="1" applyBorder="1" applyAlignment="1">
      <alignment horizontal="right"/>
    </xf>
    <xf numFmtId="9" fontId="51" fillId="0" borderId="14" xfId="0" applyNumberFormat="1" applyFont="1" applyBorder="1"/>
    <xf numFmtId="0" fontId="0" fillId="8" borderId="0" xfId="0" applyFill="1" applyAlignment="1">
      <alignment horizontal="center"/>
    </xf>
    <xf numFmtId="168" fontId="51" fillId="8" borderId="77" xfId="0" applyNumberFormat="1" applyFont="1" applyFill="1" applyBorder="1" applyAlignment="1">
      <alignment horizontal="right"/>
    </xf>
    <xf numFmtId="0" fontId="0" fillId="12" borderId="0" xfId="0" applyFill="1" applyAlignment="1">
      <alignment horizontal="center"/>
    </xf>
    <xf numFmtId="0" fontId="51" fillId="22" borderId="0" xfId="0" applyFont="1" applyFill="1" applyAlignment="1">
      <alignment horizontal="center"/>
    </xf>
    <xf numFmtId="168" fontId="51" fillId="23" borderId="43" xfId="0" applyNumberFormat="1" applyFont="1" applyFill="1" applyBorder="1" applyAlignment="1">
      <alignment horizontal="right"/>
    </xf>
    <xf numFmtId="168" fontId="54" fillId="12" borderId="43" xfId="0" applyNumberFormat="1" applyFont="1" applyFill="1" applyBorder="1" applyAlignment="1">
      <alignment horizontal="right"/>
    </xf>
    <xf numFmtId="0" fontId="55" fillId="0" borderId="0" xfId="0" applyFont="1"/>
    <xf numFmtId="0" fontId="56" fillId="0" borderId="0" xfId="0" applyFont="1"/>
    <xf numFmtId="0" fontId="56" fillId="0" borderId="0" xfId="0" applyFont="1" applyAlignment="1">
      <alignment horizontal="center"/>
    </xf>
    <xf numFmtId="0" fontId="56" fillId="24" borderId="0" xfId="0" applyFont="1" applyFill="1"/>
    <xf numFmtId="0" fontId="56" fillId="0" borderId="14" xfId="0" applyFont="1" applyBorder="1"/>
    <xf numFmtId="0" fontId="56" fillId="22" borderId="0" xfId="0" applyFont="1" applyFill="1"/>
    <xf numFmtId="0" fontId="56" fillId="25" borderId="0" xfId="0" applyFont="1" applyFill="1"/>
    <xf numFmtId="0" fontId="56" fillId="0" borderId="0" xfId="0" applyFont="1" applyAlignment="1">
      <alignment horizontal="right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left" vertical="center" indent="4"/>
    </xf>
    <xf numFmtId="9" fontId="0" fillId="0" borderId="0" xfId="0" quotePrefix="1" applyNumberFormat="1" applyAlignment="1">
      <alignment horizontal="center"/>
    </xf>
    <xf numFmtId="0" fontId="58" fillId="0" borderId="0" xfId="0" applyFont="1"/>
    <xf numFmtId="1" fontId="26" fillId="0" borderId="0" xfId="0" applyNumberFormat="1" applyFont="1"/>
    <xf numFmtId="0" fontId="14" fillId="0" borderId="0" xfId="0" applyFont="1" applyAlignment="1">
      <alignment horizontal="center"/>
    </xf>
    <xf numFmtId="0" fontId="52" fillId="0" borderId="0" xfId="0" applyFont="1" applyAlignment="1">
      <alignment horizontal="right"/>
    </xf>
    <xf numFmtId="0" fontId="45" fillId="0" borderId="0" xfId="0" applyFont="1"/>
    <xf numFmtId="0" fontId="58" fillId="0" borderId="0" xfId="0" applyFont="1" applyAlignment="1">
      <alignment horizontal="center"/>
    </xf>
    <xf numFmtId="168" fontId="59" fillId="22" borderId="0" xfId="0" applyNumberFormat="1" applyFont="1" applyFill="1" applyAlignment="1">
      <alignment horizontal="center"/>
    </xf>
    <xf numFmtId="176" fontId="13" fillId="15" borderId="0" xfId="1" applyNumberFormat="1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60" fillId="0" borderId="0" xfId="0" applyFont="1"/>
    <xf numFmtId="0" fontId="0" fillId="0" borderId="14" xfId="0" applyBorder="1" applyAlignment="1">
      <alignment horizontal="center"/>
    </xf>
    <xf numFmtId="0" fontId="15" fillId="19" borderId="47" xfId="0" applyFont="1" applyFill="1" applyBorder="1"/>
    <xf numFmtId="0" fontId="51" fillId="0" borderId="14" xfId="0" applyFont="1" applyBorder="1" applyAlignment="1">
      <alignment horizontal="right"/>
    </xf>
    <xf numFmtId="0" fontId="51" fillId="0" borderId="38" xfId="0" applyFont="1" applyBorder="1" applyAlignment="1">
      <alignment horizontal="right"/>
    </xf>
    <xf numFmtId="0" fontId="0" fillId="7" borderId="14" xfId="0" applyFill="1" applyBorder="1" applyAlignment="1">
      <alignment horizontal="center" vertical="center" wrapText="1"/>
    </xf>
    <xf numFmtId="3" fontId="0" fillId="0" borderId="14" xfId="0" applyNumberFormat="1" applyBorder="1"/>
    <xf numFmtId="2" fontId="3" fillId="0" borderId="0" xfId="0" applyNumberFormat="1" applyFont="1" applyAlignment="1">
      <alignment horizontal="right" vertical="center"/>
    </xf>
    <xf numFmtId="2" fontId="11" fillId="0" borderId="15" xfId="0" applyNumberFormat="1" applyFont="1" applyBorder="1" applyAlignment="1">
      <alignment horizontal="center"/>
    </xf>
    <xf numFmtId="0" fontId="61" fillId="0" borderId="0" xfId="0" applyFont="1"/>
    <xf numFmtId="166" fontId="5" fillId="0" borderId="0" xfId="0" applyNumberFormat="1" applyFont="1" applyAlignment="1">
      <alignment horizontal="center"/>
    </xf>
    <xf numFmtId="166" fontId="5" fillId="0" borderId="47" xfId="0" applyNumberFormat="1" applyFont="1" applyBorder="1" applyAlignment="1">
      <alignment horizontal="center"/>
    </xf>
    <xf numFmtId="2" fontId="2" fillId="0" borderId="0" xfId="0" applyNumberFormat="1" applyFont="1"/>
    <xf numFmtId="3" fontId="15" fillId="9" borderId="29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2" fillId="0" borderId="0" xfId="0" quotePrefix="1" applyFont="1"/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32" fillId="7" borderId="0" xfId="0" applyFont="1" applyFill="1"/>
    <xf numFmtId="0" fontId="32" fillId="7" borderId="0" xfId="0" applyFont="1" applyFill="1" applyAlignment="1">
      <alignment horizontal="centerContinuous"/>
    </xf>
    <xf numFmtId="0" fontId="32" fillId="7" borderId="14" xfId="0" applyFont="1" applyFill="1" applyBorder="1"/>
    <xf numFmtId="0" fontId="32" fillId="7" borderId="14" xfId="0" quotePrefix="1" applyFont="1" applyFill="1" applyBorder="1" applyAlignment="1">
      <alignment horizontal="center"/>
    </xf>
    <xf numFmtId="0" fontId="32" fillId="7" borderId="14" xfId="0" applyFont="1" applyFill="1" applyBorder="1" applyAlignment="1">
      <alignment horizontal="right"/>
    </xf>
    <xf numFmtId="0" fontId="32" fillId="7" borderId="0" xfId="0" applyFont="1" applyFill="1" applyAlignment="1">
      <alignment horizontal="right"/>
    </xf>
    <xf numFmtId="168" fontId="32" fillId="7" borderId="14" xfId="0" applyNumberFormat="1" applyFont="1" applyFill="1" applyBorder="1"/>
    <xf numFmtId="166" fontId="32" fillId="7" borderId="0" xfId="0" applyNumberFormat="1" applyFont="1" applyFill="1"/>
    <xf numFmtId="9" fontId="32" fillId="7" borderId="14" xfId="1" applyFont="1" applyFill="1" applyBorder="1"/>
    <xf numFmtId="0" fontId="2" fillId="0" borderId="0" xfId="0" applyFont="1" applyAlignment="1">
      <alignment horizontal="right"/>
    </xf>
    <xf numFmtId="0" fontId="63" fillId="0" borderId="0" xfId="0" applyFont="1" applyAlignment="1">
      <alignment horizontal="right"/>
    </xf>
    <xf numFmtId="0" fontId="19" fillId="0" borderId="8" xfId="0" applyFont="1" applyBorder="1"/>
    <xf numFmtId="166" fontId="5" fillId="2" borderId="22" xfId="0" applyNumberFormat="1" applyFont="1" applyFill="1" applyBorder="1"/>
    <xf numFmtId="167" fontId="5" fillId="0" borderId="7" xfId="0" applyNumberFormat="1" applyFont="1" applyBorder="1"/>
    <xf numFmtId="167" fontId="5" fillId="0" borderId="8" xfId="0" applyNumberFormat="1" applyFont="1" applyBorder="1"/>
    <xf numFmtId="167" fontId="5" fillId="0" borderId="18" xfId="0" applyNumberFormat="1" applyFont="1" applyBorder="1"/>
    <xf numFmtId="167" fontId="5" fillId="2" borderId="31" xfId="0" applyNumberFormat="1" applyFont="1" applyFill="1" applyBorder="1"/>
    <xf numFmtId="167" fontId="5" fillId="0" borderId="23" xfId="0" applyNumberFormat="1" applyFont="1" applyBorder="1"/>
    <xf numFmtId="167" fontId="5" fillId="0" borderId="24" xfId="0" applyNumberFormat="1" applyFont="1" applyBorder="1"/>
    <xf numFmtId="167" fontId="5" fillId="0" borderId="25" xfId="0" applyNumberFormat="1" applyFont="1" applyBorder="1"/>
    <xf numFmtId="167" fontId="5" fillId="2" borderId="35" xfId="0" applyNumberFormat="1" applyFont="1" applyFill="1" applyBorder="1"/>
    <xf numFmtId="167" fontId="5" fillId="0" borderId="37" xfId="0" applyNumberFormat="1" applyFont="1" applyBorder="1"/>
    <xf numFmtId="167" fontId="5" fillId="0" borderId="39" xfId="0" applyNumberFormat="1" applyFont="1" applyBorder="1"/>
    <xf numFmtId="168" fontId="5" fillId="0" borderId="47" xfId="0" applyNumberFormat="1" applyFont="1" applyBorder="1"/>
    <xf numFmtId="167" fontId="5" fillId="0" borderId="0" xfId="0" applyNumberFormat="1" applyFont="1"/>
    <xf numFmtId="0" fontId="65" fillId="0" borderId="17" xfId="0" applyFont="1" applyBorder="1"/>
    <xf numFmtId="0" fontId="0" fillId="15" borderId="14" xfId="0" applyFill="1" applyBorder="1"/>
    <xf numFmtId="0" fontId="66" fillId="8" borderId="1" xfId="0" applyFont="1" applyFill="1" applyBorder="1" applyAlignment="1">
      <alignment horizontal="center"/>
    </xf>
    <xf numFmtId="0" fontId="66" fillId="5" borderId="1" xfId="0" applyFont="1" applyFill="1" applyBorder="1" applyAlignment="1">
      <alignment horizontal="center"/>
    </xf>
    <xf numFmtId="0" fontId="67" fillId="0" borderId="0" xfId="0" applyFont="1"/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168" fontId="0" fillId="0" borderId="7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8" fontId="0" fillId="0" borderId="78" xfId="0" applyNumberFormat="1" applyBorder="1"/>
    <xf numFmtId="1" fontId="0" fillId="0" borderId="79" xfId="0" applyNumberFormat="1" applyBorder="1"/>
    <xf numFmtId="0" fontId="68" fillId="0" borderId="30" xfId="0" applyFont="1" applyBorder="1" applyAlignment="1">
      <alignment horizontal="left" vertical="center"/>
    </xf>
    <xf numFmtId="1" fontId="69" fillId="0" borderId="8" xfId="0" applyNumberFormat="1" applyFont="1" applyBorder="1"/>
    <xf numFmtId="1" fontId="69" fillId="2" borderId="31" xfId="0" applyNumberFormat="1" applyFont="1" applyFill="1" applyBorder="1"/>
    <xf numFmtId="1" fontId="69" fillId="0" borderId="7" xfId="0" applyNumberFormat="1" applyFont="1" applyBorder="1"/>
    <xf numFmtId="9" fontId="5" fillId="0" borderId="14" xfId="1" applyFont="1" applyFill="1" applyBorder="1"/>
    <xf numFmtId="9" fontId="5" fillId="0" borderId="15" xfId="1" applyFont="1" applyFill="1" applyBorder="1"/>
    <xf numFmtId="9" fontId="9" fillId="26" borderId="0" xfId="0" applyNumberFormat="1" applyFont="1" applyFill="1"/>
    <xf numFmtId="0" fontId="0" fillId="26" borderId="0" xfId="0" applyFill="1" applyAlignment="1">
      <alignment horizontal="center"/>
    </xf>
    <xf numFmtId="0" fontId="12" fillId="26" borderId="14" xfId="0" applyFont="1" applyFill="1" applyBorder="1" applyAlignment="1">
      <alignment horizontal="left"/>
    </xf>
    <xf numFmtId="0" fontId="64" fillId="0" borderId="0" xfId="0" applyFont="1" applyAlignment="1">
      <alignment horizontal="right"/>
    </xf>
    <xf numFmtId="0" fontId="70" fillId="0" borderId="26" xfId="0" applyFont="1" applyBorder="1"/>
    <xf numFmtId="0" fontId="65" fillId="0" borderId="38" xfId="0" applyFont="1" applyBorder="1"/>
    <xf numFmtId="0" fontId="65" fillId="0" borderId="14" xfId="0" applyFont="1" applyBorder="1"/>
    <xf numFmtId="0" fontId="65" fillId="0" borderId="20" xfId="0" applyFont="1" applyBorder="1"/>
    <xf numFmtId="0" fontId="64" fillId="0" borderId="0" xfId="0" applyFont="1" applyAlignment="1">
      <alignment horizontal="left"/>
    </xf>
    <xf numFmtId="9" fontId="0" fillId="15" borderId="14" xfId="0" applyNumberFormat="1" applyFill="1" applyBorder="1"/>
    <xf numFmtId="9" fontId="13" fillId="15" borderId="14" xfId="0" applyNumberFormat="1" applyFont="1" applyFill="1" applyBorder="1" applyAlignment="1">
      <alignment horizontal="center"/>
    </xf>
    <xf numFmtId="0" fontId="30" fillId="17" borderId="0" xfId="0" applyFont="1" applyFill="1" applyAlignment="1">
      <alignment horizontal="center"/>
    </xf>
    <xf numFmtId="0" fontId="8" fillId="0" borderId="0" xfId="0" quotePrefix="1" applyFont="1" applyAlignment="1">
      <alignment horizontal="right"/>
    </xf>
    <xf numFmtId="0" fontId="2" fillId="0" borderId="65" xfId="0" applyFont="1" applyBorder="1"/>
    <xf numFmtId="168" fontId="71" fillId="0" borderId="14" xfId="0" applyNumberFormat="1" applyFont="1" applyBorder="1"/>
    <xf numFmtId="168" fontId="0" fillId="16" borderId="14" xfId="0" applyNumberFormat="1" applyFill="1" applyBorder="1"/>
    <xf numFmtId="0" fontId="8" fillId="0" borderId="0" xfId="0" applyFont="1" applyAlignment="1">
      <alignment horizontal="right"/>
    </xf>
    <xf numFmtId="166" fontId="5" fillId="0" borderId="0" xfId="0" applyNumberFormat="1" applyFont="1"/>
    <xf numFmtId="168" fontId="5" fillId="0" borderId="0" xfId="0" applyNumberFormat="1" applyFont="1" applyAlignment="1">
      <alignment horizontal="center"/>
    </xf>
    <xf numFmtId="168" fontId="6" fillId="4" borderId="19" xfId="0" applyNumberFormat="1" applyFont="1" applyFill="1" applyBorder="1"/>
    <xf numFmtId="168" fontId="5" fillId="5" borderId="20" xfId="0" applyNumberFormat="1" applyFont="1" applyFill="1" applyBorder="1"/>
    <xf numFmtId="168" fontId="5" fillId="5" borderId="21" xfId="0" applyNumberFormat="1" applyFont="1" applyFill="1" applyBorder="1"/>
    <xf numFmtId="168" fontId="5" fillId="2" borderId="22" xfId="0" applyNumberFormat="1" applyFont="1" applyFill="1" applyBorder="1"/>
    <xf numFmtId="0" fontId="64" fillId="0" borderId="0" xfId="0" applyFont="1" applyAlignment="1">
      <alignment horizontal="center"/>
    </xf>
    <xf numFmtId="166" fontId="13" fillId="15" borderId="29" xfId="0" applyNumberFormat="1" applyFont="1" applyFill="1" applyBorder="1" applyAlignment="1">
      <alignment horizontal="center"/>
    </xf>
    <xf numFmtId="9" fontId="11" fillId="0" borderId="15" xfId="1" applyFont="1" applyBorder="1" applyAlignment="1">
      <alignment horizontal="left"/>
    </xf>
    <xf numFmtId="0" fontId="14" fillId="6" borderId="0" xfId="0" applyFont="1" applyFill="1"/>
    <xf numFmtId="0" fontId="33" fillId="0" borderId="0" xfId="0" applyFont="1"/>
    <xf numFmtId="166" fontId="14" fillId="6" borderId="0" xfId="0" applyNumberFormat="1" applyFont="1" applyFill="1"/>
    <xf numFmtId="1" fontId="19" fillId="0" borderId="0" xfId="0" applyNumberFormat="1" applyFont="1"/>
    <xf numFmtId="1" fontId="15" fillId="0" borderId="11" xfId="0" applyNumberFormat="1" applyFont="1" applyBorder="1"/>
    <xf numFmtId="0" fontId="5" fillId="0" borderId="80" xfId="0" applyFont="1" applyBorder="1"/>
    <xf numFmtId="166" fontId="14" fillId="6" borderId="73" xfId="0" applyNumberFormat="1" applyFont="1" applyFill="1" applyBorder="1"/>
    <xf numFmtId="0" fontId="5" fillId="0" borderId="73" xfId="0" applyFont="1" applyBorder="1"/>
    <xf numFmtId="0" fontId="5" fillId="0" borderId="73" xfId="0" quotePrefix="1" applyFont="1" applyBorder="1"/>
    <xf numFmtId="0" fontId="5" fillId="0" borderId="81" xfId="0" applyFont="1" applyBorder="1"/>
    <xf numFmtId="172" fontId="12" fillId="0" borderId="14" xfId="0" applyNumberFormat="1" applyFont="1" applyBorder="1" applyAlignment="1" applyProtection="1">
      <alignment horizontal="left"/>
      <protection locked="0"/>
    </xf>
    <xf numFmtId="172" fontId="0" fillId="0" borderId="14" xfId="0" applyNumberFormat="1" applyBorder="1" applyAlignment="1">
      <alignment horizontal="left"/>
    </xf>
    <xf numFmtId="172" fontId="17" fillId="0" borderId="14" xfId="0" applyNumberFormat="1" applyFont="1" applyBorder="1" applyAlignment="1" applyProtection="1">
      <alignment horizontal="left"/>
      <protection locked="0"/>
    </xf>
    <xf numFmtId="172" fontId="3" fillId="0" borderId="14" xfId="0" applyNumberFormat="1" applyFont="1" applyBorder="1" applyAlignment="1">
      <alignment horizontal="left"/>
    </xf>
    <xf numFmtId="9" fontId="13" fillId="15" borderId="0" xfId="0" applyNumberFormat="1" applyFont="1" applyFill="1" applyAlignment="1">
      <alignment horizontal="center"/>
    </xf>
    <xf numFmtId="170" fontId="0" fillId="12" borderId="43" xfId="0" applyNumberFormat="1" applyFill="1" applyBorder="1" applyAlignment="1">
      <alignment horizontal="center"/>
    </xf>
    <xf numFmtId="170" fontId="0" fillId="12" borderId="14" xfId="0" applyNumberForma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30" fillId="0" borderId="65" xfId="0" applyFont="1" applyBorder="1"/>
    <xf numFmtId="0" fontId="14" fillId="9" borderId="13" xfId="0" applyFont="1" applyFill="1" applyBorder="1" applyProtection="1">
      <protection locked="0"/>
    </xf>
    <xf numFmtId="0" fontId="0" fillId="9" borderId="0" xfId="0" applyFill="1"/>
    <xf numFmtId="0" fontId="2" fillId="9" borderId="3" xfId="0" applyFont="1" applyFill="1" applyBorder="1"/>
    <xf numFmtId="0" fontId="23" fillId="9" borderId="15" xfId="0" applyFont="1" applyFill="1" applyBorder="1" applyProtection="1">
      <protection locked="0"/>
    </xf>
    <xf numFmtId="0" fontId="72" fillId="0" borderId="0" xfId="0" applyFont="1" applyAlignment="1">
      <alignment horizontal="right"/>
    </xf>
    <xf numFmtId="176" fontId="36" fillId="0" borderId="0" xfId="1" applyNumberFormat="1" applyFont="1"/>
    <xf numFmtId="0" fontId="73" fillId="0" borderId="0" xfId="0" applyFont="1"/>
    <xf numFmtId="0" fontId="74" fillId="0" borderId="0" xfId="0" applyFont="1"/>
    <xf numFmtId="0" fontId="74" fillId="0" borderId="0" xfId="0" applyFont="1" applyAlignment="1">
      <alignment horizontal="center"/>
    </xf>
    <xf numFmtId="0" fontId="74" fillId="0" borderId="14" xfId="0" applyFont="1" applyBorder="1" applyAlignment="1">
      <alignment horizontal="center"/>
    </xf>
    <xf numFmtId="0" fontId="74" fillId="0" borderId="0" xfId="0" quotePrefix="1" applyFont="1"/>
    <xf numFmtId="0" fontId="75" fillId="0" borderId="0" xfId="0" applyFont="1"/>
    <xf numFmtId="0" fontId="76" fillId="0" borderId="0" xfId="0" applyFont="1" applyAlignment="1">
      <alignment vertical="center"/>
    </xf>
    <xf numFmtId="3" fontId="0" fillId="9" borderId="0" xfId="0" applyNumberFormat="1" applyFill="1"/>
    <xf numFmtId="0" fontId="13" fillId="9" borderId="0" xfId="0" applyFont="1" applyFill="1" applyAlignment="1">
      <alignment horizontal="right"/>
    </xf>
    <xf numFmtId="1" fontId="13" fillId="9" borderId="0" xfId="0" applyNumberFormat="1" applyFont="1" applyFill="1" applyAlignment="1">
      <alignment horizontal="right"/>
    </xf>
    <xf numFmtId="0" fontId="0" fillId="15" borderId="0" xfId="0" applyFill="1"/>
    <xf numFmtId="0" fontId="77" fillId="0" borderId="0" xfId="0" applyFont="1"/>
    <xf numFmtId="3" fontId="13" fillId="15" borderId="0" xfId="0" applyNumberFormat="1" applyFont="1" applyFill="1"/>
    <xf numFmtId="0" fontId="13" fillId="15" borderId="0" xfId="0" applyFont="1" applyFill="1"/>
    <xf numFmtId="3" fontId="13" fillId="9" borderId="0" xfId="0" applyNumberFormat="1" applyFont="1" applyFill="1" applyAlignment="1">
      <alignment horizontal="right"/>
    </xf>
    <xf numFmtId="0" fontId="78" fillId="0" borderId="0" xfId="0" applyFont="1"/>
    <xf numFmtId="0" fontId="43" fillId="0" borderId="0" xfId="0" applyFont="1"/>
    <xf numFmtId="0" fontId="26" fillId="0" borderId="0" xfId="0" applyFont="1" applyAlignment="1">
      <alignment horizontal="center"/>
    </xf>
    <xf numFmtId="2" fontId="14" fillId="0" borderId="46" xfId="0" applyNumberFormat="1" applyFont="1" applyBorder="1" applyAlignment="1">
      <alignment horizontal="right"/>
    </xf>
    <xf numFmtId="0" fontId="14" fillId="0" borderId="5" xfId="0" applyFont="1" applyBorder="1"/>
    <xf numFmtId="0" fontId="0" fillId="5" borderId="0" xfId="0" applyFill="1"/>
    <xf numFmtId="0" fontId="82" fillId="5" borderId="0" xfId="0" applyFont="1" applyFill="1"/>
    <xf numFmtId="0" fontId="14" fillId="27" borderId="0" xfId="0" applyFont="1" applyFill="1"/>
    <xf numFmtId="0" fontId="0" fillId="27" borderId="0" xfId="0" applyFill="1"/>
    <xf numFmtId="0" fontId="3" fillId="0" borderId="46" xfId="0" applyFont="1" applyBorder="1" applyAlignment="1">
      <alignment horizontal="center"/>
    </xf>
    <xf numFmtId="2" fontId="0" fillId="0" borderId="2" xfId="0" applyNumberFormat="1" applyBorder="1" applyAlignment="1">
      <alignment horizontal="center" wrapText="1"/>
    </xf>
    <xf numFmtId="2" fontId="81" fillId="0" borderId="4" xfId="0" applyNumberFormat="1" applyFont="1" applyBorder="1" applyAlignment="1">
      <alignment horizontal="center" wrapText="1"/>
    </xf>
    <xf numFmtId="0" fontId="0" fillId="12" borderId="38" xfId="0" applyFill="1" applyBorder="1" applyAlignment="1">
      <alignment horizontal="right"/>
    </xf>
    <xf numFmtId="177" fontId="3" fillId="12" borderId="21" xfId="2" applyNumberFormat="1" applyFont="1" applyFill="1" applyBorder="1"/>
    <xf numFmtId="166" fontId="0" fillId="12" borderId="14" xfId="0" applyNumberFormat="1" applyFill="1" applyBorder="1" applyAlignment="1">
      <alignment horizontal="center"/>
    </xf>
    <xf numFmtId="1" fontId="0" fillId="12" borderId="44" xfId="0" applyNumberFormat="1" applyFill="1" applyBorder="1" applyAlignment="1">
      <alignment horizontal="center"/>
    </xf>
    <xf numFmtId="177" fontId="3" fillId="12" borderId="15" xfId="2" applyNumberFormat="1" applyFont="1" applyFill="1" applyBorder="1"/>
    <xf numFmtId="0" fontId="0" fillId="21" borderId="1" xfId="0" applyFill="1" applyBorder="1" applyAlignment="1">
      <alignment horizontal="right"/>
    </xf>
    <xf numFmtId="177" fontId="3" fillId="21" borderId="28" xfId="2" applyNumberFormat="1" applyFont="1" applyFill="1" applyBorder="1"/>
    <xf numFmtId="166" fontId="26" fillId="21" borderId="26" xfId="0" applyNumberFormat="1" applyFont="1" applyFill="1" applyBorder="1" applyAlignment="1">
      <alignment horizontal="center"/>
    </xf>
    <xf numFmtId="1" fontId="26" fillId="21" borderId="42" xfId="0" applyNumberFormat="1" applyFont="1" applyFill="1" applyBorder="1" applyAlignment="1">
      <alignment horizontal="center"/>
    </xf>
    <xf numFmtId="0" fontId="0" fillId="9" borderId="0" xfId="0" applyFill="1" applyAlignment="1">
      <alignment horizontal="right"/>
    </xf>
    <xf numFmtId="0" fontId="3" fillId="9" borderId="15" xfId="0" applyFont="1" applyFill="1" applyBorder="1" applyAlignment="1">
      <alignment horizontal="right"/>
    </xf>
    <xf numFmtId="0" fontId="0" fillId="9" borderId="13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177" fontId="3" fillId="15" borderId="29" xfId="2" applyNumberFormat="1" applyFont="1" applyFill="1" applyBorder="1"/>
    <xf numFmtId="0" fontId="83" fillId="0" borderId="0" xfId="0" applyFont="1" applyAlignment="1">
      <alignment horizontal="right"/>
    </xf>
    <xf numFmtId="166" fontId="0" fillId="4" borderId="29" xfId="0" applyNumberFormat="1" applyFill="1" applyBorder="1" applyAlignment="1">
      <alignment horizontal="center"/>
    </xf>
    <xf numFmtId="0" fontId="0" fillId="28" borderId="0" xfId="0" applyFill="1"/>
    <xf numFmtId="0" fontId="84" fillId="28" borderId="0" xfId="0" applyFont="1" applyFill="1" applyAlignment="1">
      <alignment horizontal="centerContinuous"/>
    </xf>
    <xf numFmtId="0" fontId="0" fillId="28" borderId="0" xfId="0" applyFill="1" applyAlignment="1">
      <alignment horizontal="centerContinuous"/>
    </xf>
    <xf numFmtId="0" fontId="64" fillId="0" borderId="0" xfId="0" applyFont="1"/>
    <xf numFmtId="17" fontId="2" fillId="0" borderId="0" xfId="0" applyNumberFormat="1" applyFont="1"/>
    <xf numFmtId="0" fontId="85" fillId="9" borderId="0" xfId="0" applyFont="1" applyFill="1" applyAlignment="1">
      <alignment horizontal="centerContinuous"/>
    </xf>
    <xf numFmtId="0" fontId="0" fillId="9" borderId="0" xfId="0" applyFill="1" applyAlignment="1">
      <alignment horizontal="centerContinuous"/>
    </xf>
    <xf numFmtId="0" fontId="80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9" fontId="86" fillId="9" borderId="0" xfId="0" applyNumberFormat="1" applyFont="1" applyFill="1"/>
    <xf numFmtId="0" fontId="24" fillId="5" borderId="0" xfId="0" applyFont="1" applyFill="1"/>
    <xf numFmtId="0" fontId="3" fillId="9" borderId="0" xfId="0" applyFont="1" applyFill="1" applyAlignment="1">
      <alignment horizontal="center"/>
    </xf>
    <xf numFmtId="0" fontId="87" fillId="0" borderId="0" xfId="0" applyFont="1"/>
    <xf numFmtId="0" fontId="14" fillId="12" borderId="0" xfId="0" applyFont="1" applyFill="1"/>
    <xf numFmtId="0" fontId="56" fillId="29" borderId="57" xfId="0" applyFont="1" applyFill="1" applyBorder="1"/>
    <xf numFmtId="0" fontId="56" fillId="29" borderId="82" xfId="0" applyFont="1" applyFill="1" applyBorder="1"/>
    <xf numFmtId="0" fontId="56" fillId="29" borderId="57" xfId="0" applyFont="1" applyFill="1" applyBorder="1" applyAlignment="1">
      <alignment horizontal="center" wrapText="1"/>
    </xf>
    <xf numFmtId="3" fontId="11" fillId="0" borderId="15" xfId="0" applyNumberFormat="1" applyFont="1" applyBorder="1" applyAlignment="1">
      <alignment horizontal="center"/>
    </xf>
    <xf numFmtId="0" fontId="0" fillId="5" borderId="15" xfId="0" applyFill="1" applyBorder="1" applyAlignment="1">
      <alignment horizontal="right"/>
    </xf>
    <xf numFmtId="2" fontId="26" fillId="9" borderId="14" xfId="0" applyNumberFormat="1" applyFont="1" applyFill="1" applyBorder="1" applyAlignment="1">
      <alignment horizontal="left"/>
    </xf>
    <xf numFmtId="166" fontId="56" fillId="29" borderId="57" xfId="0" applyNumberFormat="1" applyFont="1" applyFill="1" applyBorder="1" applyAlignment="1">
      <alignment horizontal="center" wrapText="1"/>
    </xf>
    <xf numFmtId="0" fontId="14" fillId="15" borderId="14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4" fontId="18" fillId="0" borderId="11" xfId="0" quotePrefix="1" applyNumberFormat="1" applyFont="1" applyBorder="1" applyAlignment="1">
      <alignment horizontal="right"/>
    </xf>
    <xf numFmtId="0" fontId="0" fillId="0" borderId="0" xfId="0" quotePrefix="1" applyAlignment="1">
      <alignment horizontal="right"/>
    </xf>
    <xf numFmtId="0" fontId="30" fillId="0" borderId="0" xfId="0" applyFont="1" applyAlignment="1">
      <alignment horizontal="right"/>
    </xf>
    <xf numFmtId="172" fontId="12" fillId="0" borderId="14" xfId="0" applyNumberFormat="1" applyFont="1" applyBorder="1" applyAlignment="1" applyProtection="1">
      <alignment horizontal="right"/>
      <protection locked="0"/>
    </xf>
    <xf numFmtId="166" fontId="0" fillId="9" borderId="14" xfId="0" applyNumberFormat="1" applyFill="1" applyBorder="1"/>
    <xf numFmtId="166" fontId="14" fillId="4" borderId="14" xfId="0" applyNumberFormat="1" applyFont="1" applyFill="1" applyBorder="1"/>
    <xf numFmtId="0" fontId="33" fillId="0" borderId="0" xfId="0" quotePrefix="1" applyFont="1" applyAlignment="1">
      <alignment horizontal="center"/>
    </xf>
    <xf numFmtId="0" fontId="89" fillId="0" borderId="0" xfId="0" applyFont="1" applyAlignment="1">
      <alignment horizontal="right"/>
    </xf>
    <xf numFmtId="170" fontId="0" fillId="7" borderId="14" xfId="0" applyNumberFormat="1" applyFill="1" applyBorder="1"/>
    <xf numFmtId="172" fontId="17" fillId="7" borderId="14" xfId="0" applyNumberFormat="1" applyFont="1" applyFill="1" applyBorder="1" applyAlignment="1" applyProtection="1">
      <alignment horizontal="left"/>
      <protection locked="0"/>
    </xf>
    <xf numFmtId="172" fontId="12" fillId="7" borderId="14" xfId="0" applyNumberFormat="1" applyFont="1" applyFill="1" applyBorder="1" applyAlignment="1" applyProtection="1">
      <alignment horizontal="left"/>
      <protection locked="0"/>
    </xf>
    <xf numFmtId="166" fontId="14" fillId="7" borderId="14" xfId="0" applyNumberFormat="1" applyFont="1" applyFill="1" applyBorder="1" applyAlignment="1" applyProtection="1">
      <alignment horizontal="center"/>
      <protection locked="0"/>
    </xf>
    <xf numFmtId="172" fontId="3" fillId="7" borderId="14" xfId="0" applyNumberFormat="1" applyFont="1" applyFill="1" applyBorder="1" applyAlignment="1">
      <alignment horizontal="left"/>
    </xf>
    <xf numFmtId="172" fontId="0" fillId="7" borderId="14" xfId="0" applyNumberFormat="1" applyFill="1" applyBorder="1" applyAlignment="1">
      <alignment horizontal="left"/>
    </xf>
    <xf numFmtId="172" fontId="17" fillId="9" borderId="14" xfId="0" applyNumberFormat="1" applyFont="1" applyFill="1" applyBorder="1" applyAlignment="1" applyProtection="1">
      <alignment horizontal="left"/>
      <protection locked="0"/>
    </xf>
    <xf numFmtId="172" fontId="12" fillId="9" borderId="14" xfId="0" applyNumberFormat="1" applyFont="1" applyFill="1" applyBorder="1" applyAlignment="1" applyProtection="1">
      <alignment horizontal="left"/>
      <protection locked="0"/>
    </xf>
    <xf numFmtId="166" fontId="14" fillId="9" borderId="14" xfId="0" applyNumberFormat="1" applyFont="1" applyFill="1" applyBorder="1" applyAlignment="1" applyProtection="1">
      <alignment horizontal="center"/>
      <protection locked="0"/>
    </xf>
    <xf numFmtId="0" fontId="0" fillId="9" borderId="14" xfId="0" applyFill="1" applyBorder="1"/>
    <xf numFmtId="170" fontId="0" fillId="9" borderId="14" xfId="0" applyNumberFormat="1" applyFill="1" applyBorder="1"/>
    <xf numFmtId="166" fontId="90" fillId="5" borderId="83" xfId="0" applyNumberFormat="1" applyFont="1" applyFill="1" applyBorder="1"/>
    <xf numFmtId="1" fontId="88" fillId="5" borderId="84" xfId="0" applyNumberFormat="1" applyFont="1" applyFill="1" applyBorder="1"/>
    <xf numFmtId="3" fontId="91" fillId="5" borderId="7" xfId="0" applyNumberFormat="1" applyFont="1" applyFill="1" applyBorder="1" applyAlignment="1">
      <alignment horizontal="right"/>
    </xf>
    <xf numFmtId="177" fontId="88" fillId="5" borderId="18" xfId="2" applyNumberFormat="1" applyFont="1" applyFill="1" applyBorder="1"/>
    <xf numFmtId="166" fontId="91" fillId="5" borderId="23" xfId="0" applyNumberFormat="1" applyFont="1" applyFill="1" applyBorder="1" applyAlignment="1">
      <alignment horizontal="right"/>
    </xf>
    <xf numFmtId="1" fontId="12" fillId="5" borderId="25" xfId="0" applyNumberFormat="1" applyFont="1" applyFill="1" applyBorder="1" applyAlignment="1">
      <alignment horizontal="left"/>
    </xf>
    <xf numFmtId="0" fontId="81" fillId="5" borderId="61" xfId="0" applyFont="1" applyFill="1" applyBorder="1"/>
    <xf numFmtId="0" fontId="3" fillId="5" borderId="10" xfId="0" applyFont="1" applyFill="1" applyBorder="1"/>
    <xf numFmtId="0" fontId="3" fillId="5" borderId="54" xfId="0" applyFont="1" applyFill="1" applyBorder="1" applyAlignment="1">
      <alignment horizontal="right"/>
    </xf>
    <xf numFmtId="0" fontId="92" fillId="0" borderId="15" xfId="0" applyFont="1" applyBorder="1"/>
    <xf numFmtId="0" fontId="3" fillId="0" borderId="1" xfId="0" applyFont="1" applyBorder="1" applyAlignment="1">
      <alignment horizontal="left"/>
    </xf>
    <xf numFmtId="0" fontId="0" fillId="0" borderId="52" xfId="0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12" fillId="19" borderId="3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93" fillId="0" borderId="0" xfId="0" applyFont="1" applyAlignment="1">
      <alignment vertical="center" wrapText="1"/>
    </xf>
    <xf numFmtId="172" fontId="0" fillId="0" borderId="13" xfId="0" applyNumberFormat="1" applyBorder="1" applyAlignment="1">
      <alignment horizontal="left"/>
    </xf>
    <xf numFmtId="178" fontId="3" fillId="0" borderId="14" xfId="0" applyNumberFormat="1" applyFont="1" applyBorder="1"/>
    <xf numFmtId="171" fontId="3" fillId="19" borderId="14" xfId="2" applyNumberFormat="1" applyFont="1" applyFill="1" applyBorder="1"/>
    <xf numFmtId="179" fontId="3" fillId="0" borderId="14" xfId="2" applyNumberFormat="1" applyFont="1" applyFill="1" applyBorder="1"/>
    <xf numFmtId="170" fontId="0" fillId="0" borderId="0" xfId="0" applyNumberFormat="1"/>
    <xf numFmtId="171" fontId="0" fillId="0" borderId="0" xfId="0" applyNumberFormat="1"/>
    <xf numFmtId="171" fontId="3" fillId="0" borderId="14" xfId="2" applyNumberFormat="1" applyFont="1" applyFill="1" applyBorder="1"/>
    <xf numFmtId="0" fontId="3" fillId="0" borderId="62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6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172" fontId="0" fillId="0" borderId="85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172" fontId="0" fillId="0" borderId="64" xfId="0" applyNumberFormat="1" applyBorder="1" applyAlignment="1">
      <alignment horizontal="center"/>
    </xf>
    <xf numFmtId="2" fontId="0" fillId="19" borderId="61" xfId="0" applyNumberFormat="1" applyFill="1" applyBorder="1"/>
    <xf numFmtId="179" fontId="3" fillId="0" borderId="38" xfId="2" applyNumberFormat="1" applyFont="1" applyFill="1" applyBorder="1"/>
    <xf numFmtId="2" fontId="0" fillId="19" borderId="15" xfId="0" applyNumberFormat="1" applyFill="1" applyBorder="1"/>
    <xf numFmtId="0" fontId="0" fillId="12" borderId="29" xfId="0" applyFill="1" applyBorder="1" applyAlignment="1">
      <alignment horizontal="center"/>
    </xf>
    <xf numFmtId="0" fontId="0" fillId="7" borderId="15" xfId="0" applyFill="1" applyBorder="1"/>
    <xf numFmtId="0" fontId="0" fillId="7" borderId="43" xfId="0" applyFill="1" applyBorder="1"/>
    <xf numFmtId="0" fontId="3" fillId="0" borderId="65" xfId="0" applyFont="1" applyBorder="1" applyAlignment="1">
      <alignment horizontal="right"/>
    </xf>
    <xf numFmtId="0" fontId="0" fillId="11" borderId="14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75" xfId="0" applyFill="1" applyBorder="1" applyAlignment="1">
      <alignment horizontal="center"/>
    </xf>
    <xf numFmtId="0" fontId="0" fillId="12" borderId="66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0" fillId="12" borderId="5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39" fillId="0" borderId="20" xfId="0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9" fillId="0" borderId="20" xfId="0" quotePrefix="1" applyFont="1" applyBorder="1" applyAlignment="1">
      <alignment horizontal="left" vertical="center" wrapText="1"/>
    </xf>
    <xf numFmtId="0" fontId="39" fillId="0" borderId="38" xfId="0" quotePrefix="1" applyFont="1" applyBorder="1" applyAlignment="1">
      <alignment horizontal="left" vertical="center" wrapText="1"/>
    </xf>
  </cellXfs>
  <cellStyles count="4">
    <cellStyle name="Milliers 2" xfId="3" xr:uid="{B24D9B51-A24A-45B8-B5A7-35B3B73F2EF3}"/>
    <cellStyle name="千位分隔" xfId="2" builtinId="3"/>
    <cellStyle name="常规" xfId="0" builtinId="0"/>
    <cellStyle name="百分比" xfId="1" builtinId="5"/>
  </cellStyles>
  <dxfs count="7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 tint="0.499984740745262"/>
        </patternFill>
      </fill>
    </dxf>
    <dxf>
      <font>
        <color auto="1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auto="1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(kCur)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98853479956083"/>
          <c:y val="3.319751519604569E-2"/>
          <c:w val="0.87288027506902877"/>
          <c:h val="0.7788584438842569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PRICE!$B$1:$H$1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PRICE!$B$54:$H$54</c:f>
              <c:numCache>
                <c:formatCode>0</c:formatCode>
                <c:ptCount val="7"/>
                <c:pt idx="0">
                  <c:v>-1</c:v>
                </c:pt>
                <c:pt idx="1">
                  <c:v>-151.70730634468126</c:v>
                </c:pt>
                <c:pt idx="2">
                  <c:v>-99.065372153941595</c:v>
                </c:pt>
                <c:pt idx="3">
                  <c:v>-43.659736418188103</c:v>
                </c:pt>
                <c:pt idx="4">
                  <c:v>14.654695193692447</c:v>
                </c:pt>
                <c:pt idx="5">
                  <c:v>76.030634465196727</c:v>
                </c:pt>
                <c:pt idx="6">
                  <c:v>190.12125271381905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B-42BE-9768-FEDB0B49B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710736"/>
        <c:axId val="887711064"/>
      </c:lineChart>
      <c:catAx>
        <c:axId val="8877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1064"/>
        <c:crosses val="autoZero"/>
        <c:auto val="1"/>
        <c:lblAlgn val="ctr"/>
        <c:lblOffset val="100"/>
        <c:noMultiLvlLbl val="0"/>
      </c:catAx>
      <c:valAx>
        <c:axId val="88771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D-4143-9D91-CE598306F7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D-4143-9D91-CE598306F7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2D-4143-9D91-CE598306F7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2D-4143-9D91-CE598306F7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2D-4143-9D91-CE598306F7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2D-4143-9D91-CE598306F7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2D-4143-9D91-CE598306F7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PRICE!$X$12:$X$18</c:f>
              <c:strCache>
                <c:ptCount val="7"/>
                <c:pt idx="0">
                  <c:v>RM  + Packaging</c:v>
                </c:pt>
                <c:pt idx="1">
                  <c:v>DL</c:v>
                </c:pt>
                <c:pt idx="2">
                  <c:v>VOH</c:v>
                </c:pt>
                <c:pt idx="3">
                  <c:v>tranportation</c:v>
                </c:pt>
                <c:pt idx="4">
                  <c:v>FOH + Admin</c:v>
                </c:pt>
                <c:pt idx="5">
                  <c:v>Fees</c:v>
                </c:pt>
                <c:pt idx="6">
                  <c:v>EBITDA</c:v>
                </c:pt>
              </c:strCache>
            </c:strRef>
          </c:cat>
          <c:val>
            <c:numRef>
              <c:f>PRICE!$Z$12:$Z$18</c:f>
              <c:numCache>
                <c:formatCode>0.0000</c:formatCode>
                <c:ptCount val="7"/>
                <c:pt idx="0">
                  <c:v>0.43062768952757796</c:v>
                </c:pt>
                <c:pt idx="1">
                  <c:v>6.0738826260853945E-2</c:v>
                </c:pt>
                <c:pt idx="2">
                  <c:v>0.136882199242231</c:v>
                </c:pt>
                <c:pt idx="3">
                  <c:v>0.15484530223585236</c:v>
                </c:pt>
                <c:pt idx="4">
                  <c:v>0.19868334923889255</c:v>
                </c:pt>
                <c:pt idx="5">
                  <c:v>0.13113101049766906</c:v>
                </c:pt>
                <c:pt idx="6">
                  <c:v>-1.1129083770030768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2D-4143-9D91-CE598306F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12-4810-AA01-886EF3106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12-4810-AA01-886EF3106F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12-4810-AA01-886EF3106F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12-4810-AA01-886EF3106F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12-4810-AA01-886EF3106F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12-4810-AA01-886EF3106F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12-4810-AA01-886EF3106FF5}"/>
              </c:ext>
            </c:extLst>
          </c:dPt>
          <c:dLbls>
            <c:dLbl>
              <c:idx val="2"/>
              <c:layout>
                <c:manualLayout>
                  <c:x val="2.3592648336799062E-2"/>
                  <c:y val="-3.99620392093685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073600227677435E-2"/>
                      <c:h val="0.156571269622305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012-4810-AA01-886EF3106FF5}"/>
                </c:ext>
              </c:extLst>
            </c:dLbl>
            <c:dLbl>
              <c:idx val="3"/>
              <c:layout>
                <c:manualLayout>
                  <c:x val="-1.1796277726361324E-2"/>
                  <c:y val="-1.463503306930483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12-4810-AA01-886EF3106F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PRICE!$L$43:$L$49</c:f>
              <c:strCache>
                <c:ptCount val="7"/>
                <c:pt idx="0">
                  <c:v>RM  + Packaging</c:v>
                </c:pt>
                <c:pt idx="1">
                  <c:v>DL</c:v>
                </c:pt>
                <c:pt idx="2">
                  <c:v>VOH</c:v>
                </c:pt>
                <c:pt idx="3">
                  <c:v>Tranportation &amp; Taxes</c:v>
                </c:pt>
                <c:pt idx="4">
                  <c:v>FOH + Admin</c:v>
                </c:pt>
                <c:pt idx="5">
                  <c:v>Fees</c:v>
                </c:pt>
                <c:pt idx="6">
                  <c:v>EBITDA</c:v>
                </c:pt>
              </c:strCache>
            </c:strRef>
          </c:cat>
          <c:val>
            <c:numRef>
              <c:f>PRICE!$O$43:$O$49</c:f>
              <c:numCache>
                <c:formatCode>0</c:formatCode>
                <c:ptCount val="7"/>
                <c:pt idx="0">
                  <c:v>215.31384476378904</c:v>
                </c:pt>
                <c:pt idx="1">
                  <c:v>30.369413130426977</c:v>
                </c:pt>
                <c:pt idx="2">
                  <c:v>68.441099621115512</c:v>
                </c:pt>
                <c:pt idx="3">
                  <c:v>77.422651117926193</c:v>
                </c:pt>
                <c:pt idx="4">
                  <c:v>99.341674619446295</c:v>
                </c:pt>
                <c:pt idx="5">
                  <c:v>65.565505248834555</c:v>
                </c:pt>
                <c:pt idx="6">
                  <c:v>110.11249363817102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12-4810-AA01-886EF3106FF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F5-43F8-996D-DD607D206F94}"/>
              </c:ext>
            </c:extLst>
          </c:dPt>
          <c:cat>
            <c:strLit>
              <c:ptCount val="5"/>
              <c:pt idx="0">
                <c:v>Initial SCENARIO for a package volume of :</c:v>
              </c:pt>
              <c:pt idx="4">
                <c:v>35500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AB35-48B4-989C-2D06B8703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(kCur)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98853479956083"/>
          <c:y val="3.319751519604569E-2"/>
          <c:w val="0.87288027506902877"/>
          <c:h val="0.7788584438842569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PRICE!$B$1:$H$1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PRICE!$AD$54:$AJ$54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0-4113-82C9-926A4C4C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710736"/>
        <c:axId val="887711064"/>
      </c:lineChart>
      <c:catAx>
        <c:axId val="8877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1064"/>
        <c:crosses val="autoZero"/>
        <c:auto val="1"/>
        <c:lblAlgn val="ctr"/>
        <c:lblOffset val="100"/>
        <c:noMultiLvlLbl val="0"/>
      </c:catAx>
      <c:valAx>
        <c:axId val="88771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(kCur)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98853479956083"/>
          <c:y val="3.319751519604569E-2"/>
          <c:w val="0.87288027506902877"/>
          <c:h val="0.7788584438842569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PRICE!$B$1:$H$1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PRICE!$AD$54:$AJ$54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0-4F1D-8781-8D890ED3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710736"/>
        <c:axId val="887711064"/>
      </c:lineChart>
      <c:catAx>
        <c:axId val="8877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1064"/>
        <c:crosses val="autoZero"/>
        <c:auto val="1"/>
        <c:lblAlgn val="ctr"/>
        <c:lblOffset val="100"/>
        <c:noMultiLvlLbl val="0"/>
      </c:catAx>
      <c:valAx>
        <c:axId val="88771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21538</xdr:colOff>
      <xdr:row>7</xdr:row>
      <xdr:rowOff>17189</xdr:rowOff>
    </xdr:from>
    <xdr:to>
      <xdr:col>16</xdr:col>
      <xdr:colOff>683119</xdr:colOff>
      <xdr:row>18</xdr:row>
      <xdr:rowOff>151311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84AEC2A-18DF-4C8E-99B6-E139B5FA5C33}"/>
            </a:ext>
            <a:ext uri="{147F2762-F138-4A5C-976F-8EAC2B608ADB}">
              <a16:predDERef xmlns:a16="http://schemas.microsoft.com/office/drawing/2014/main" pred="{E2CE6817-1A87-4887-8146-B2700D97D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4165</xdr:colOff>
      <xdr:row>18</xdr:row>
      <xdr:rowOff>70468</xdr:rowOff>
    </xdr:from>
    <xdr:to>
      <xdr:col>25</xdr:col>
      <xdr:colOff>762703</xdr:colOff>
      <xdr:row>37</xdr:row>
      <xdr:rowOff>182601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87FB02-937F-4D86-ABF1-E56F0FC9D910}"/>
            </a:ext>
            <a:ext uri="{147F2762-F138-4A5C-976F-8EAC2B608ADB}">
              <a16:predDERef xmlns:a16="http://schemas.microsoft.com/office/drawing/2014/main" pred="{684AEC2A-18DF-4C8E-99B6-E139B5FA5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548640</xdr:colOff>
      <xdr:row>10</xdr:row>
      <xdr:rowOff>15240</xdr:rowOff>
    </xdr:from>
    <xdr:to>
      <xdr:col>26</xdr:col>
      <xdr:colOff>570333</xdr:colOff>
      <xdr:row>38</xdr:row>
      <xdr:rowOff>155678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89E3E088-DCD4-DEF7-14D5-288E4AA5DCE7}"/>
            </a:ext>
          </a:extLst>
        </xdr:cNvPr>
        <xdr:cNvCxnSpPr/>
      </xdr:nvCxnSpPr>
      <xdr:spPr>
        <a:xfrm>
          <a:off x="17218372" y="1908456"/>
          <a:ext cx="21693" cy="5191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33298</xdr:colOff>
      <xdr:row>18</xdr:row>
      <xdr:rowOff>165735</xdr:rowOff>
    </xdr:from>
    <xdr:to>
      <xdr:col>17</xdr:col>
      <xdr:colOff>26534</xdr:colOff>
      <xdr:row>38</xdr:row>
      <xdr:rowOff>159369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2CE6817-1A87-4887-8146-B2700D97D647}"/>
            </a:ext>
            <a:ext uri="{147F2762-F138-4A5C-976F-8EAC2B608ADB}">
              <a16:predDERef xmlns:a16="http://schemas.microsoft.com/office/drawing/2014/main" pred="{F29A4E83-782C-4B4E-95B2-FF33342C0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631210</xdr:colOff>
      <xdr:row>77</xdr:row>
      <xdr:rowOff>162649</xdr:rowOff>
    </xdr:from>
    <xdr:to>
      <xdr:col>36</xdr:col>
      <xdr:colOff>102546</xdr:colOff>
      <xdr:row>86</xdr:row>
      <xdr:rowOff>153538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49FF9F4-1494-4A44-93B9-BC13768F48AD}"/>
            </a:ext>
            <a:ext uri="{147F2762-F138-4A5C-976F-8EAC2B608ADB}">
              <a16:predDERef xmlns:a16="http://schemas.microsoft.com/office/drawing/2014/main" pred="{E2CE6817-1A87-4887-8146-B2700D97D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631210</xdr:colOff>
      <xdr:row>77</xdr:row>
      <xdr:rowOff>162649</xdr:rowOff>
    </xdr:from>
    <xdr:to>
      <xdr:col>57</xdr:col>
      <xdr:colOff>102546</xdr:colOff>
      <xdr:row>86</xdr:row>
      <xdr:rowOff>153538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F0CFBEA-20C6-4263-B8AE-80854BE0B5CE}"/>
            </a:ext>
            <a:ext uri="{147F2762-F138-4A5C-976F-8EAC2B608ADB}">
              <a16:predDERef xmlns:a16="http://schemas.microsoft.com/office/drawing/2014/main" pred="{E2CE6817-1A87-4887-8146-B2700D97D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1</xdr:row>
      <xdr:rowOff>38099</xdr:rowOff>
    </xdr:from>
    <xdr:to>
      <xdr:col>14</xdr:col>
      <xdr:colOff>632849</xdr:colOff>
      <xdr:row>9</xdr:row>
      <xdr:rowOff>155676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849CB48-BAD5-40F3-B3C4-35F312CE6443}"/>
            </a:ext>
          </a:extLst>
        </xdr:cNvPr>
        <xdr:cNvSpPr txBox="1"/>
      </xdr:nvSpPr>
      <xdr:spPr>
        <a:xfrm>
          <a:off x="9824066" y="226551"/>
          <a:ext cx="4672267" cy="1567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/>
            <a:t>COMMENT /THE FEASIBILITY STUDY</a:t>
          </a:r>
        </a:p>
        <a:p>
          <a:endParaRPr lang="fr-FR" sz="1100" b="1" i="1"/>
        </a:p>
      </xdr:txBody>
    </xdr:sp>
    <xdr:clientData/>
  </xdr:twoCellAnchor>
  <xdr:twoCellAnchor>
    <xdr:from>
      <xdr:col>12</xdr:col>
      <xdr:colOff>336883</xdr:colOff>
      <xdr:row>66</xdr:row>
      <xdr:rowOff>109621</xdr:rowOff>
    </xdr:from>
    <xdr:to>
      <xdr:col>17</xdr:col>
      <xdr:colOff>1476273</xdr:colOff>
      <xdr:row>95</xdr:row>
      <xdr:rowOff>122430</xdr:rowOff>
    </xdr:to>
    <xdr:cxnSp macro="">
      <xdr:nvCxnSpPr>
        <xdr:cNvPr id="3" name="Lien droit 1">
          <a:extLst>
            <a:ext uri="{FF2B5EF4-FFF2-40B4-BE49-F238E27FC236}">
              <a16:creationId xmlns:a16="http://schemas.microsoft.com/office/drawing/2014/main" id="{2C930211-AABA-44F1-BFA6-4DC480DBF0CE}"/>
            </a:ext>
          </a:extLst>
        </xdr:cNvPr>
        <xdr:cNvCxnSpPr>
          <a:cxnSpLocks/>
        </xdr:cNvCxnSpPr>
      </xdr:nvCxnSpPr>
      <xdr:spPr>
        <a:xfrm>
          <a:off x="11145251" y="13137147"/>
          <a:ext cx="7108390" cy="5500546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457338</xdr:colOff>
      <xdr:row>8</xdr:row>
      <xdr:rowOff>175056</xdr:rowOff>
    </xdr:from>
    <xdr:to>
      <xdr:col>11</xdr:col>
      <xdr:colOff>266838</xdr:colOff>
      <xdr:row>13</xdr:row>
      <xdr:rowOff>72730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68855B7-4EF5-3F8C-934D-53E90208A755}"/>
            </a:ext>
          </a:extLst>
        </xdr:cNvPr>
        <xdr:cNvSpPr/>
      </xdr:nvSpPr>
      <xdr:spPr>
        <a:xfrm>
          <a:off x="6793164" y="1697355"/>
          <a:ext cx="2029165" cy="45896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/>
            <a:t>RFQ request</a:t>
          </a:r>
        </a:p>
      </xdr:txBody>
    </xdr:sp>
    <xdr:clientData/>
  </xdr:twoCellAnchor>
  <xdr:twoCellAnchor>
    <xdr:from>
      <xdr:col>8</xdr:col>
      <xdr:colOff>460197</xdr:colOff>
      <xdr:row>24</xdr:row>
      <xdr:rowOff>56945</xdr:rowOff>
    </xdr:from>
    <xdr:to>
      <xdr:col>11</xdr:col>
      <xdr:colOff>269697</xdr:colOff>
      <xdr:row>27</xdr:row>
      <xdr:rowOff>172674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BA017DD-148D-0E29-0DFD-2CD4CA3AD87B}"/>
            </a:ext>
          </a:extLst>
        </xdr:cNvPr>
        <xdr:cNvSpPr/>
      </xdr:nvSpPr>
      <xdr:spPr>
        <a:xfrm>
          <a:off x="6796023" y="3926476"/>
          <a:ext cx="2071687" cy="66851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/>
            <a:t>Standard costing file with MOQ</a:t>
          </a:r>
        </a:p>
      </xdr:txBody>
    </xdr:sp>
    <xdr:clientData/>
  </xdr:twoCellAnchor>
  <xdr:twoCellAnchor>
    <xdr:from>
      <xdr:col>8</xdr:col>
      <xdr:colOff>123893</xdr:colOff>
      <xdr:row>13</xdr:row>
      <xdr:rowOff>244723</xdr:rowOff>
    </xdr:from>
    <xdr:to>
      <xdr:col>11</xdr:col>
      <xdr:colOff>593407</xdr:colOff>
      <xdr:row>22</xdr:row>
      <xdr:rowOff>144575</xdr:rowOff>
    </xdr:to>
    <xdr:sp macro="" textlink="">
      <xdr:nvSpPr>
        <xdr:cNvPr id="6" name="Losange 5">
          <a:extLst>
            <a:ext uri="{FF2B5EF4-FFF2-40B4-BE49-F238E27FC236}">
              <a16:creationId xmlns:a16="http://schemas.microsoft.com/office/drawing/2014/main" id="{1ADFB603-0526-DB95-E66D-D2EDE2EE941D}"/>
            </a:ext>
          </a:extLst>
        </xdr:cNvPr>
        <xdr:cNvSpPr/>
      </xdr:nvSpPr>
      <xdr:spPr>
        <a:xfrm>
          <a:off x="6468223" y="2328317"/>
          <a:ext cx="2731702" cy="1311593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IF Qty /y &lt; batch size then Package Offer =MOQ </a:t>
          </a:r>
        </a:p>
      </xdr:txBody>
    </xdr:sp>
    <xdr:clientData/>
  </xdr:twoCellAnchor>
  <xdr:twoCellAnchor>
    <xdr:from>
      <xdr:col>9</xdr:col>
      <xdr:colOff>749855</xdr:colOff>
      <xdr:row>13</xdr:row>
      <xdr:rowOff>72730</xdr:rowOff>
    </xdr:from>
    <xdr:to>
      <xdr:col>9</xdr:col>
      <xdr:colOff>753293</xdr:colOff>
      <xdr:row>13</xdr:row>
      <xdr:rowOff>244723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8FDCA45E-9AD5-0E6C-5762-379E607D8A74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7834074" y="2156324"/>
          <a:ext cx="3438" cy="1719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749855</xdr:colOff>
      <xdr:row>22</xdr:row>
      <xdr:rowOff>144575</xdr:rowOff>
    </xdr:from>
    <xdr:to>
      <xdr:col>9</xdr:col>
      <xdr:colOff>756152</xdr:colOff>
      <xdr:row>24</xdr:row>
      <xdr:rowOff>60755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3101E0D1-E87E-7FD7-E885-36279F0BCB96}"/>
            </a:ext>
          </a:extLst>
        </xdr:cNvPr>
        <xdr:cNvCxnSpPr>
          <a:stCxn id="6" idx="2"/>
          <a:endCxn id="5" idx="0"/>
        </xdr:cNvCxnSpPr>
      </xdr:nvCxnSpPr>
      <xdr:spPr>
        <a:xfrm>
          <a:off x="7834074" y="3639910"/>
          <a:ext cx="6297" cy="2903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756153</xdr:colOff>
      <xdr:row>27</xdr:row>
      <xdr:rowOff>168864</xdr:rowOff>
    </xdr:from>
    <xdr:to>
      <xdr:col>9</xdr:col>
      <xdr:colOff>760196</xdr:colOff>
      <xdr:row>29</xdr:row>
      <xdr:rowOff>92527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DD774D6E-EE71-5C66-DBB7-4547237ADD5B}"/>
            </a:ext>
          </a:extLst>
        </xdr:cNvPr>
        <xdr:cNvCxnSpPr>
          <a:stCxn id="5" idx="2"/>
          <a:endCxn id="40" idx="0"/>
        </xdr:cNvCxnSpPr>
      </xdr:nvCxnSpPr>
      <xdr:spPr>
        <a:xfrm>
          <a:off x="7831867" y="4591185"/>
          <a:ext cx="4043" cy="2808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133281</xdr:colOff>
      <xdr:row>29</xdr:row>
      <xdr:rowOff>96337</xdr:rowOff>
    </xdr:from>
    <xdr:to>
      <xdr:col>11</xdr:col>
      <xdr:colOff>602795</xdr:colOff>
      <xdr:row>36</xdr:row>
      <xdr:rowOff>144575</xdr:rowOff>
    </xdr:to>
    <xdr:sp macro="" textlink="">
      <xdr:nvSpPr>
        <xdr:cNvPr id="40" name="Losange 39">
          <a:extLst>
            <a:ext uri="{FF2B5EF4-FFF2-40B4-BE49-F238E27FC236}">
              <a16:creationId xmlns:a16="http://schemas.microsoft.com/office/drawing/2014/main" id="{57D61D47-81D4-BA69-5799-853D48DAA1F0}"/>
            </a:ext>
          </a:extLst>
        </xdr:cNvPr>
        <xdr:cNvSpPr/>
      </xdr:nvSpPr>
      <xdr:spPr>
        <a:xfrm>
          <a:off x="6469107" y="4875846"/>
          <a:ext cx="2689179" cy="1315403"/>
        </a:xfrm>
        <a:prstGeom prst="diamond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MOQ is OK for the customer ?</a:t>
          </a:r>
        </a:p>
      </xdr:txBody>
    </xdr:sp>
    <xdr:clientData/>
  </xdr:twoCellAnchor>
  <xdr:twoCellAnchor>
    <xdr:from>
      <xdr:col>7</xdr:col>
      <xdr:colOff>178593</xdr:colOff>
      <xdr:row>33</xdr:row>
      <xdr:rowOff>8504</xdr:rowOff>
    </xdr:from>
    <xdr:to>
      <xdr:col>8</xdr:col>
      <xdr:colOff>137091</xdr:colOff>
      <xdr:row>33</xdr:row>
      <xdr:rowOff>19797</xdr:rowOff>
    </xdr:to>
    <xdr:cxnSp macro="">
      <xdr:nvCxnSpPr>
        <xdr:cNvPr id="45" name="Connecteur droit avec flèche 44">
          <a:extLst>
            <a:ext uri="{FF2B5EF4-FFF2-40B4-BE49-F238E27FC236}">
              <a16:creationId xmlns:a16="http://schemas.microsoft.com/office/drawing/2014/main" id="{748C36DE-B032-1A81-3BE8-C75B7F263784}"/>
            </a:ext>
          </a:extLst>
        </xdr:cNvPr>
        <xdr:cNvCxnSpPr>
          <a:stCxn id="40" idx="1"/>
        </xdr:cNvCxnSpPr>
      </xdr:nvCxnSpPr>
      <xdr:spPr>
        <a:xfrm flipH="1" flipV="1">
          <a:off x="5774531" y="5519397"/>
          <a:ext cx="698386" cy="112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760196</xdr:colOff>
      <xdr:row>36</xdr:row>
      <xdr:rowOff>142670</xdr:rowOff>
    </xdr:from>
    <xdr:to>
      <xdr:col>9</xdr:col>
      <xdr:colOff>765402</xdr:colOff>
      <xdr:row>38</xdr:row>
      <xdr:rowOff>119062</xdr:rowOff>
    </xdr:to>
    <xdr:cxnSp macro="">
      <xdr:nvCxnSpPr>
        <xdr:cNvPr id="49" name="Connecteur droit avec flèche 48">
          <a:extLst>
            <a:ext uri="{FF2B5EF4-FFF2-40B4-BE49-F238E27FC236}">
              <a16:creationId xmlns:a16="http://schemas.microsoft.com/office/drawing/2014/main" id="{93E766D9-864B-8E21-DD57-85288713B0E9}"/>
            </a:ext>
          </a:extLst>
        </xdr:cNvPr>
        <xdr:cNvCxnSpPr>
          <a:stCxn id="40" idx="2"/>
        </xdr:cNvCxnSpPr>
      </xdr:nvCxnSpPr>
      <xdr:spPr>
        <a:xfrm>
          <a:off x="7835910" y="6189344"/>
          <a:ext cx="5206" cy="333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33</xdr:row>
      <xdr:rowOff>8504</xdr:rowOff>
    </xdr:from>
    <xdr:to>
      <xdr:col>8</xdr:col>
      <xdr:colOff>137091</xdr:colOff>
      <xdr:row>33</xdr:row>
      <xdr:rowOff>19797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D9D6972A-FCA4-4FB4-9081-6C932C1D4332}"/>
            </a:ext>
          </a:extLst>
        </xdr:cNvPr>
        <xdr:cNvCxnSpPr/>
      </xdr:nvCxnSpPr>
      <xdr:spPr>
        <a:xfrm flipH="1" flipV="1">
          <a:off x="5765958" y="5592059"/>
          <a:ext cx="701448" cy="55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</xdr:colOff>
      <xdr:row>1</xdr:row>
      <xdr:rowOff>38099</xdr:rowOff>
    </xdr:from>
    <xdr:to>
      <xdr:col>16</xdr:col>
      <xdr:colOff>378705</xdr:colOff>
      <xdr:row>38</xdr:row>
      <xdr:rowOff>57379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B66D86-2D11-469D-B983-801D0BBEEDDB}"/>
            </a:ext>
          </a:extLst>
        </xdr:cNvPr>
        <xdr:cNvSpPr txBox="1"/>
      </xdr:nvSpPr>
      <xdr:spPr>
        <a:xfrm>
          <a:off x="78105" y="221713"/>
          <a:ext cx="9848552" cy="68130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For the main brush processes investment , we are currently requesting to the customer as follows :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Process  </a:t>
          </a:r>
          <a:r>
            <a:rPr lang="en-US" sz="1100" b="1" i="0" u="none" strike="noStrike">
              <a:solidFill>
                <a:srgbClr val="0070C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</a:t>
          </a:r>
          <a:r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Machine </a:t>
          </a:r>
          <a:r>
            <a:rPr lang="en-US" sz="1100" b="1" i="0" u="none" strike="noStrike">
              <a:solidFill>
                <a:srgbClr val="0070C0"/>
              </a:solidFill>
              <a:latin typeface="Calibri" panose="020F0502020204030204" pitchFamily="34" charset="0"/>
              <a:cs typeface="Calibri" panose="020F0502020204030204" pitchFamily="34" charset="0"/>
            </a:rPr>
            <a:t>cost   	</a:t>
          </a:r>
          <a:r>
            <a:rPr lang="en-US" sz="1100" b="1" i="0" u="none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Tolling</a:t>
          </a:r>
          <a:r>
            <a:rPr lang="en-US" sz="1100" b="1" i="0" u="none" strike="noStrike">
              <a:solidFill>
                <a:srgbClr val="0070C0"/>
              </a:solidFill>
              <a:latin typeface="Calibri" panose="020F0502020204030204" pitchFamily="34" charset="0"/>
              <a:cs typeface="Calibri" panose="020F0502020204030204" pitchFamily="34" charset="0"/>
            </a:rPr>
            <a:t> cost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Mixing </a:t>
          </a:r>
          <a:r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:                </a:t>
          </a:r>
          <a:r>
            <a:rPr lang="en-US" sz="1100" b="0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0                   	      </a:t>
          </a:r>
          <a:r>
            <a:rPr lang="en-US" sz="1100" b="0" i="0" u="none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0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Pressing </a:t>
          </a:r>
          <a:r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:             </a:t>
          </a:r>
          <a:r>
            <a:rPr lang="en-US" sz="1100" b="0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0                   	    </a:t>
          </a:r>
          <a:r>
            <a:rPr lang="en-US" sz="1100" b="0" i="0" u="none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YES,  we ask for a “starter” package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The high runner case is always consider on costing report = 6.3 Keur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But “starter” package could depend on volume/year in the offer, for example 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- 1 set of electrodes (for tooling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manufacturing)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+ 1 tooling for small series (turn over &lt;30Keur) – 3 Keur + margin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- 1 set of electrodes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(for tooling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manufacturing)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+ 2 sets of tooling for medium series (T/o 30 to 60 Keur) =  5.4 Keur +margin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- 1 set of electrodes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(for tooling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manufacturing)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+ 2 sets of tooling + more punches for High runners (T/O &gt; 60Keur) = 6.3 Keur + margin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                                                  Cost details are in the costing file (Follow the arrow on the right down side).	                                                                       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Details is generally never communicated to the customer.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We never communicate the lifetime because replacement is included in piece part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 (for information punches are refreshing every 500 000 parts for example)                                                                                                                                  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For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protoype tooling cost, please recheck with prototype production plant.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Welding </a:t>
          </a:r>
          <a:r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:           </a:t>
          </a:r>
          <a:r>
            <a:rPr lang="en-US" sz="1100" b="0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0                           </a:t>
          </a:r>
          <a:r>
            <a:rPr lang="en-US" sz="1100" b="0" i="0" u="none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we ask a “starter” package (7Keur)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for specific part (guiding adapted to brush size and electrodes) then spare parts are included in piece part. (so no life time communicated)</a:t>
          </a:r>
        </a:p>
        <a:p>
          <a:pPr marL="0" indent="0" algn="l"/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Grinding </a:t>
          </a:r>
          <a:r>
            <a:rPr lang="en-US" sz="11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:           </a:t>
          </a:r>
          <a:r>
            <a:rPr lang="en-US" sz="1100" b="0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32 </a:t>
          </a:r>
          <a:r>
            <a:rPr lang="en-US" sz="1100" b="0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Keur (for a full machine) 	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+ </a:t>
          </a:r>
          <a:r>
            <a:rPr lang="en-US" sz="1100" b="1" i="0" u="none" strike="noStrike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8 Keur specific tooling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		 (Bowl feeder, grinding wheel and specific guiding adapted to brush size)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                     Capacity depends of the brush size and calculation in the costing file (mentioned in % of mach).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We are looking for 20% free capacity so 80% saturation = 1 machine.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Full capacity in parts/y is mentionned in the costing report last right column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                     Spare parts are included in piece part.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                     In the costing file we request only the % of capacity needed + 20% free capacity.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If volume is half of a machine, cost requested is 50% of a machine cost.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	Sales team can adapt to a whole number of machines if close to 1 machine or more..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then </a:t>
          </a:r>
          <a:r>
            <a:rPr lang="en-US" sz="1100" b="0" i="0" u="none" strike="noStrike">
              <a:solidFill>
                <a:srgbClr val="0070C0"/>
              </a:solidFill>
              <a:latin typeface="Calibri" panose="020F0502020204030204" pitchFamily="34" charset="0"/>
              <a:cs typeface="Calibri" panose="020F0502020204030204" pitchFamily="34" charset="0"/>
            </a:rPr>
            <a:t>we apply 10% margin on all costs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For</a:t>
          </a:r>
          <a:r>
            <a:rPr lang="en-US" sz="1100" b="0" i="0" u="none" strike="noStrike" baseline="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 grinders, </a:t>
          </a:r>
          <a:r>
            <a:rPr 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sometime </a:t>
          </a:r>
          <a:r>
            <a:rPr lang="en-US" sz="1100" b="0" i="0" u="none" strike="noStrike" baseline="0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competition remove this cost from customer offer. We need to find a way with the plants and PLM : by using existing capacity &amp; optimization of the uses of our machines.</a:t>
          </a:r>
          <a:endParaRPr lang="en-US" sz="1100" b="0" i="0" u="none" strike="noStrike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in conclusion,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tooling lifetime is never considered in offer as we request only a “starter” package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for machine cost we ask to install just the needed capacity + 20% free capacity.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1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PS : precise situation of needed</a:t>
          </a:r>
          <a:r>
            <a:rPr lang="en-US" sz="1100" b="0" i="1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equpment, must be reviewed with the production plant.</a:t>
          </a:r>
          <a:endParaRPr lang="en-US" sz="1100" b="0" i="1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2026920</xdr:colOff>
      <xdr:row>17</xdr:row>
      <xdr:rowOff>60960</xdr:rowOff>
    </xdr:from>
    <xdr:to>
      <xdr:col>4</xdr:col>
      <xdr:colOff>2026920</xdr:colOff>
      <xdr:row>21</xdr:row>
      <xdr:rowOff>137160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F0F0D19B-7722-41F3-BEAF-3E956A06EF38}"/>
            </a:ext>
          </a:extLst>
        </xdr:cNvPr>
        <xdr:cNvCxnSpPr/>
      </xdr:nvCxnSpPr>
      <xdr:spPr>
        <a:xfrm flipV="1">
          <a:off x="5928360" y="7002780"/>
          <a:ext cx="0" cy="11125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ocarbongroup.sharepoint.com/sites/AvoCarbon-PLG/Brush/Shared%20Documents/03-Technical%20Document/350%20Costing%20tools%20-%20PLG%20Brush/Costing%20Tool%20(Brush)-V61.xlsm" TargetMode="External"/><Relationship Id="rId1" Type="http://schemas.openxmlformats.org/officeDocument/2006/relationships/externalLinkPath" Target="/sites/AvoCarbon-PLG/Brush/Shared%20Documents/03-Technical%20Document/350%20Costing%20tools%20-%20PLG%20Brush/Costing%20Tool%20(Brush)-V6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Grades"/>
      <sheetName val="RFQ Data"/>
      <sheetName val="Brush data"/>
      <sheetName val="PriceCalAVO"/>
      <sheetName val="Process&amp;Capex"/>
      <sheetName val="Material Cost "/>
      <sheetName val="Product Added value"/>
      <sheetName val="Transp. Packaging"/>
      <sheetName val="VOH cost per h"/>
      <sheetName val="Capex "/>
      <sheetName val="PL Parameters"/>
      <sheetName val="Financials 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910B-6D1A-4B28-A819-6D19BD8F8AB7}">
  <sheetPr codeName="Feuil1">
    <pageSetUpPr fitToPage="1"/>
  </sheetPr>
  <dimension ref="A1:O185"/>
  <sheetViews>
    <sheetView showGridLines="0" tabSelected="1" zoomScale="107" zoomScaleNormal="59" workbookViewId="0">
      <selection activeCell="C3" sqref="C3"/>
    </sheetView>
  </sheetViews>
  <sheetFormatPr defaultColWidth="11.42578125" defaultRowHeight="14.45"/>
  <cols>
    <col min="1" max="1" width="1.42578125" customWidth="1"/>
    <col min="2" max="2" width="14.42578125" customWidth="1"/>
    <col min="3" max="12" width="10.42578125" customWidth="1"/>
    <col min="13" max="13" width="33.42578125" customWidth="1"/>
  </cols>
  <sheetData>
    <row r="1" spans="1:13" ht="15" thickBot="1">
      <c r="A1" s="274"/>
      <c r="B1" s="381" t="s">
        <v>0</v>
      </c>
      <c r="C1" s="382" t="s">
        <v>1</v>
      </c>
      <c r="D1" s="198"/>
      <c r="E1" s="180"/>
      <c r="F1" s="383" t="s">
        <v>2</v>
      </c>
      <c r="G1" s="383"/>
      <c r="H1" s="383"/>
      <c r="I1" s="384"/>
      <c r="J1" s="385" t="s">
        <v>3</v>
      </c>
      <c r="K1" s="142"/>
      <c r="L1" s="386" t="s">
        <v>4</v>
      </c>
    </row>
    <row r="2" spans="1:13" ht="15" thickBot="1">
      <c r="A2" s="387"/>
      <c r="B2" s="388"/>
      <c r="C2" s="389" t="s">
        <v>5</v>
      </c>
      <c r="D2" s="390"/>
      <c r="E2" s="390"/>
      <c r="F2" s="369"/>
      <c r="G2" s="415"/>
      <c r="H2" s="143"/>
      <c r="I2" s="391" t="s">
        <v>6</v>
      </c>
      <c r="J2" s="15"/>
      <c r="K2" s="142"/>
      <c r="L2" s="308" t="s">
        <v>7</v>
      </c>
    </row>
    <row r="3" spans="1:13" ht="15" thickBot="1">
      <c r="A3" s="392"/>
      <c r="B3" s="6" t="s">
        <v>8</v>
      </c>
      <c r="C3" s="148" t="s">
        <v>9</v>
      </c>
      <c r="D3" s="393"/>
      <c r="E3" s="393"/>
      <c r="G3" s="89"/>
      <c r="H3" s="46"/>
      <c r="I3" s="150" t="s">
        <v>10</v>
      </c>
      <c r="J3" s="144"/>
      <c r="K3" s="145"/>
      <c r="L3" s="146" t="s">
        <v>11</v>
      </c>
    </row>
    <row r="4" spans="1:13" ht="15" thickBot="1">
      <c r="A4" s="392"/>
      <c r="B4" s="164" t="s">
        <v>12</v>
      </c>
      <c r="C4" s="148" t="s">
        <v>13</v>
      </c>
      <c r="D4" s="393"/>
      <c r="E4" s="393"/>
      <c r="F4" s="46"/>
      <c r="G4" s="149"/>
      <c r="H4" s="46"/>
      <c r="I4" t="s">
        <v>14</v>
      </c>
      <c r="J4" s="394"/>
      <c r="K4" s="395"/>
      <c r="L4" s="396" t="s">
        <v>15</v>
      </c>
    </row>
    <row r="5" spans="1:13" ht="15" thickBot="1">
      <c r="A5" s="392"/>
      <c r="B5" s="164" t="s">
        <v>16</v>
      </c>
      <c r="C5" s="148" t="s">
        <v>17</v>
      </c>
      <c r="D5" s="393"/>
      <c r="E5" s="393"/>
      <c r="I5" s="6" t="s">
        <v>18</v>
      </c>
      <c r="J5" s="283" t="s">
        <v>19</v>
      </c>
      <c r="K5" s="142"/>
      <c r="L5" s="282" t="s">
        <v>20</v>
      </c>
      <c r="M5" s="22"/>
    </row>
    <row r="6" spans="1:13" ht="15" thickBot="1">
      <c r="A6" s="392"/>
      <c r="B6" s="182"/>
      <c r="C6" s="182"/>
      <c r="D6" s="182"/>
      <c r="E6" s="182"/>
      <c r="I6" s="150" t="s">
        <v>21</v>
      </c>
      <c r="J6" s="144"/>
      <c r="K6" s="145"/>
      <c r="L6" s="151" t="s">
        <v>22</v>
      </c>
    </row>
    <row r="7" spans="1:13" ht="15" thickBot="1">
      <c r="A7" s="392"/>
      <c r="B7" s="154" t="s">
        <v>23</v>
      </c>
      <c r="C7" s="152" t="s">
        <v>24</v>
      </c>
      <c r="D7" s="153"/>
      <c r="E7" s="154" t="s">
        <v>25</v>
      </c>
      <c r="F7" s="153">
        <v>1</v>
      </c>
      <c r="L7" s="155"/>
    </row>
    <row r="8" spans="1:13" ht="15" thickBot="1">
      <c r="A8" s="147"/>
      <c r="B8" s="154" t="s">
        <v>26</v>
      </c>
      <c r="C8" s="397">
        <v>0</v>
      </c>
      <c r="D8" s="398" t="s">
        <v>27</v>
      </c>
      <c r="E8" s="46" t="s">
        <v>28</v>
      </c>
      <c r="I8" s="46"/>
      <c r="K8" s="46"/>
      <c r="L8" s="155"/>
    </row>
    <row r="9" spans="1:13" ht="15" thickBot="1">
      <c r="A9" s="147"/>
      <c r="B9" s="154" t="s">
        <v>26</v>
      </c>
      <c r="C9" s="397">
        <v>0</v>
      </c>
      <c r="D9" s="398" t="s">
        <v>27</v>
      </c>
      <c r="E9" s="46" t="s">
        <v>29</v>
      </c>
      <c r="G9" s="46"/>
      <c r="J9" t="s">
        <v>30</v>
      </c>
      <c r="L9" s="155"/>
    </row>
    <row r="10" spans="1:13" ht="15" thickBot="1">
      <c r="A10" s="147"/>
      <c r="B10" s="399" t="s">
        <v>31</v>
      </c>
      <c r="C10" s="400">
        <v>1</v>
      </c>
      <c r="D10" s="398" t="s">
        <v>32</v>
      </c>
      <c r="E10" s="401" t="s">
        <v>33</v>
      </c>
      <c r="J10" s="498">
        <v>500</v>
      </c>
      <c r="K10" s="46" t="s">
        <v>34</v>
      </c>
      <c r="L10" s="155"/>
    </row>
    <row r="11" spans="1:13" ht="15" thickBot="1">
      <c r="A11" s="147"/>
      <c r="D11" s="402" t="s">
        <v>35</v>
      </c>
      <c r="L11" s="155"/>
    </row>
    <row r="12" spans="1:13" ht="15" thickBot="1">
      <c r="A12" s="147"/>
      <c r="B12" s="158" t="s">
        <v>36</v>
      </c>
      <c r="C12" s="403">
        <v>2025</v>
      </c>
      <c r="D12" s="404">
        <v>2026</v>
      </c>
      <c r="E12" s="403">
        <v>2027</v>
      </c>
      <c r="F12" s="403">
        <v>2028</v>
      </c>
      <c r="G12" s="403">
        <v>2029</v>
      </c>
      <c r="H12" s="403">
        <v>2030</v>
      </c>
      <c r="I12" s="46"/>
      <c r="J12" s="46" t="s">
        <v>37</v>
      </c>
      <c r="K12" s="46"/>
      <c r="L12" s="155"/>
    </row>
    <row r="13" spans="1:13" ht="15" thickBot="1">
      <c r="A13" s="147"/>
      <c r="B13" s="159" t="s">
        <v>38</v>
      </c>
      <c r="C13" s="160">
        <v>0</v>
      </c>
      <c r="D13" s="161">
        <v>500</v>
      </c>
      <c r="E13" s="161">
        <v>500</v>
      </c>
      <c r="F13" s="161">
        <v>500</v>
      </c>
      <c r="G13" s="161">
        <v>500</v>
      </c>
      <c r="H13" s="161">
        <v>500</v>
      </c>
      <c r="I13" s="46"/>
      <c r="J13" s="405">
        <v>0</v>
      </c>
      <c r="K13" s="46" t="s">
        <v>39</v>
      </c>
      <c r="L13" s="155"/>
    </row>
    <row r="14" spans="1:13" ht="15" thickBot="1">
      <c r="A14" s="147"/>
      <c r="B14" s="162" t="s">
        <v>40</v>
      </c>
      <c r="C14" s="163">
        <v>0</v>
      </c>
      <c r="D14" s="406">
        <v>0</v>
      </c>
      <c r="E14" s="406">
        <v>0</v>
      </c>
      <c r="F14" s="406">
        <v>0</v>
      </c>
      <c r="G14" s="406">
        <v>0</v>
      </c>
      <c r="H14" s="407">
        <v>0</v>
      </c>
      <c r="I14" s="164" t="s">
        <v>41</v>
      </c>
      <c r="J14" s="408">
        <v>0</v>
      </c>
      <c r="K14" s="46" t="s">
        <v>42</v>
      </c>
      <c r="L14" s="155"/>
    </row>
    <row r="15" spans="1:13" ht="15" thickBot="1">
      <c r="A15" s="147"/>
      <c r="B15" s="97" t="s">
        <v>26</v>
      </c>
      <c r="C15" s="165">
        <v>0</v>
      </c>
      <c r="D15" s="165">
        <v>0</v>
      </c>
      <c r="E15" s="165">
        <v>0</v>
      </c>
      <c r="F15" s="165">
        <v>0</v>
      </c>
      <c r="G15" s="165">
        <v>0</v>
      </c>
      <c r="H15" s="166">
        <v>0</v>
      </c>
      <c r="I15" s="46"/>
      <c r="J15" s="46" t="s">
        <v>43</v>
      </c>
      <c r="K15" s="46"/>
      <c r="L15" s="155"/>
    </row>
    <row r="16" spans="1:13" ht="15" thickBot="1">
      <c r="A16" s="409"/>
      <c r="B16" s="168" t="s">
        <v>44</v>
      </c>
      <c r="C16" s="170">
        <v>0</v>
      </c>
      <c r="D16" s="168">
        <v>600</v>
      </c>
      <c r="E16" s="168">
        <v>600</v>
      </c>
      <c r="F16" s="168">
        <v>600</v>
      </c>
      <c r="G16" s="168">
        <v>600</v>
      </c>
      <c r="H16" s="171">
        <v>600</v>
      </c>
      <c r="I16" s="171"/>
      <c r="J16" s="168"/>
      <c r="K16" s="168"/>
      <c r="L16" s="169"/>
    </row>
    <row r="17" spans="1:12" ht="15" thickBot="1">
      <c r="A17" s="180" t="s">
        <v>45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56"/>
    </row>
    <row r="18" spans="1:12">
      <c r="A18" s="172" t="s">
        <v>46</v>
      </c>
      <c r="C18" s="293" t="s">
        <v>24</v>
      </c>
      <c r="D18" t="s">
        <v>47</v>
      </c>
      <c r="E18" s="378"/>
      <c r="G18" s="410" t="s">
        <v>22</v>
      </c>
      <c r="H18" s="143" t="s">
        <v>48</v>
      </c>
      <c r="I18" s="143"/>
      <c r="J18" s="411" t="s">
        <v>49</v>
      </c>
      <c r="K18" s="143" t="s">
        <v>50</v>
      </c>
      <c r="L18" s="412">
        <v>1</v>
      </c>
    </row>
    <row r="19" spans="1:12" ht="15" thickBot="1">
      <c r="A19" s="167" t="s">
        <v>51</v>
      </c>
      <c r="B19" s="168"/>
      <c r="C19" s="168"/>
      <c r="E19" s="413" t="s">
        <v>52</v>
      </c>
      <c r="F19" s="168" t="s">
        <v>53</v>
      </c>
      <c r="H19" s="173" t="s">
        <v>54</v>
      </c>
      <c r="I19" s="414" t="s">
        <v>17</v>
      </c>
      <c r="J19" s="168"/>
      <c r="K19" s="168"/>
      <c r="L19" s="169"/>
    </row>
    <row r="20" spans="1:12">
      <c r="A20" s="172" t="s">
        <v>55</v>
      </c>
      <c r="B20" s="143"/>
      <c r="C20" s="143"/>
      <c r="D20" s="143"/>
      <c r="E20" s="291">
        <v>60</v>
      </c>
      <c r="F20" s="143" t="s">
        <v>56</v>
      </c>
      <c r="G20" s="143"/>
      <c r="H20" s="368" t="s">
        <v>27</v>
      </c>
      <c r="I20" s="487">
        <v>0</v>
      </c>
      <c r="J20" s="143" t="s">
        <v>57</v>
      </c>
      <c r="K20" s="369"/>
      <c r="L20" s="370"/>
    </row>
    <row r="21" spans="1:12">
      <c r="A21" s="147" t="s">
        <v>58</v>
      </c>
      <c r="B21" s="46"/>
      <c r="C21" s="175" t="s">
        <v>59</v>
      </c>
      <c r="E21" s="46"/>
      <c r="F21" s="164" t="s">
        <v>60</v>
      </c>
      <c r="G21" s="371">
        <v>2</v>
      </c>
      <c r="H21" s="372" t="s">
        <v>61</v>
      </c>
      <c r="I21" s="372" t="s">
        <v>27</v>
      </c>
      <c r="J21" s="372" t="s">
        <v>62</v>
      </c>
      <c r="K21" s="372" t="s">
        <v>63</v>
      </c>
      <c r="L21" s="373" t="s">
        <v>64</v>
      </c>
    </row>
    <row r="22" spans="1:12">
      <c r="A22" s="147" t="s">
        <v>65</v>
      </c>
      <c r="B22" s="46"/>
      <c r="D22" s="292">
        <v>7</v>
      </c>
      <c r="E22" s="46" t="s">
        <v>66</v>
      </c>
      <c r="F22" s="46"/>
      <c r="G22" s="176"/>
      <c r="H22" s="374">
        <v>0.125</v>
      </c>
      <c r="I22" s="374">
        <v>1</v>
      </c>
      <c r="J22" s="375">
        <v>0.13750000000000001</v>
      </c>
      <c r="K22" s="375">
        <v>11.875</v>
      </c>
      <c r="L22" s="376">
        <v>0.19500000000000001</v>
      </c>
    </row>
    <row r="23" spans="1:12" ht="15" thickBot="1">
      <c r="A23" s="147" t="s">
        <v>67</v>
      </c>
      <c r="B23" s="46"/>
      <c r="C23" s="176"/>
      <c r="D23" s="46"/>
      <c r="F23" s="371">
        <v>1</v>
      </c>
      <c r="G23" s="46"/>
      <c r="H23" t="s">
        <v>68</v>
      </c>
      <c r="J23" s="157" t="s">
        <v>69</v>
      </c>
      <c r="K23" s="495">
        <v>8</v>
      </c>
      <c r="L23" s="377"/>
    </row>
    <row r="24" spans="1:12">
      <c r="A24" s="147"/>
      <c r="B24" s="46"/>
      <c r="C24" s="176"/>
      <c r="D24" s="46"/>
      <c r="E24" s="46"/>
      <c r="F24" s="46"/>
      <c r="G24" s="172" t="s">
        <v>70</v>
      </c>
      <c r="H24" s="143"/>
      <c r="I24" s="143"/>
      <c r="J24" s="378" t="s">
        <v>69</v>
      </c>
      <c r="K24" s="496">
        <v>8</v>
      </c>
      <c r="L24" s="174"/>
    </row>
    <row r="25" spans="1:12">
      <c r="A25" s="147" t="s">
        <v>71</v>
      </c>
      <c r="C25" s="46"/>
      <c r="D25" s="46"/>
      <c r="E25" s="46"/>
      <c r="F25" s="46"/>
      <c r="G25" s="147" t="s">
        <v>72</v>
      </c>
      <c r="H25" s="571">
        <v>8.65</v>
      </c>
      <c r="I25" s="46" t="s">
        <v>61</v>
      </c>
      <c r="J25" s="177" t="s">
        <v>73</v>
      </c>
      <c r="K25" s="572" t="s">
        <v>74</v>
      </c>
      <c r="L25" s="155"/>
    </row>
    <row r="26" spans="1:12">
      <c r="A26" s="147"/>
      <c r="B26" s="46" t="s">
        <v>75</v>
      </c>
      <c r="E26" s="277">
        <v>6.4603842506085574</v>
      </c>
      <c r="F26" s="46" t="s">
        <v>76</v>
      </c>
      <c r="G26" s="179" t="s">
        <v>77</v>
      </c>
      <c r="H26" s="571">
        <v>1137</v>
      </c>
      <c r="I26" s="46" t="s">
        <v>61</v>
      </c>
      <c r="J26" s="177" t="s">
        <v>73</v>
      </c>
      <c r="K26" s="572" t="s">
        <v>74</v>
      </c>
      <c r="L26" s="155"/>
    </row>
    <row r="27" spans="1:12">
      <c r="A27" s="147"/>
      <c r="B27" s="46" t="s">
        <v>78</v>
      </c>
      <c r="C27" s="46"/>
      <c r="D27" s="46"/>
      <c r="E27" s="277">
        <v>7</v>
      </c>
      <c r="F27" s="46"/>
      <c r="G27" s="147" t="s">
        <v>79</v>
      </c>
      <c r="H27" s="573">
        <v>2.7764034090909093</v>
      </c>
      <c r="I27" s="46" t="s">
        <v>61</v>
      </c>
      <c r="J27" s="177" t="s">
        <v>73</v>
      </c>
      <c r="K27" s="572"/>
      <c r="L27" s="155"/>
    </row>
    <row r="28" spans="1:12">
      <c r="A28" s="147"/>
      <c r="B28" s="46" t="s">
        <v>80</v>
      </c>
      <c r="C28" s="46"/>
      <c r="D28" s="46"/>
      <c r="E28" s="574">
        <v>9.3333333333333339</v>
      </c>
      <c r="F28" s="46"/>
      <c r="G28" s="147" t="s">
        <v>81</v>
      </c>
      <c r="H28" s="573">
        <v>7.5</v>
      </c>
      <c r="I28" s="46" t="s">
        <v>61</v>
      </c>
      <c r="J28" s="177" t="s">
        <v>73</v>
      </c>
      <c r="K28" s="572"/>
      <c r="L28" s="155"/>
    </row>
    <row r="29" spans="1:12">
      <c r="A29" s="147"/>
      <c r="B29" s="46" t="s">
        <v>82</v>
      </c>
      <c r="C29" s="46"/>
      <c r="D29" s="46"/>
      <c r="E29" s="574">
        <v>0</v>
      </c>
      <c r="F29" s="46"/>
      <c r="G29" s="147" t="s">
        <v>83</v>
      </c>
      <c r="H29" s="573">
        <v>3.1937069318181814</v>
      </c>
      <c r="I29" s="46" t="s">
        <v>61</v>
      </c>
      <c r="J29" s="177" t="s">
        <v>73</v>
      </c>
      <c r="K29" s="178" t="s">
        <v>84</v>
      </c>
      <c r="L29" s="155"/>
    </row>
    <row r="30" spans="1:12" ht="15" thickBot="1">
      <c r="A30" s="147"/>
      <c r="B30" s="46" t="s">
        <v>85</v>
      </c>
      <c r="C30" s="46"/>
      <c r="D30" s="46"/>
      <c r="E30" s="277">
        <v>0</v>
      </c>
      <c r="F30" s="46"/>
      <c r="G30" s="147" t="s">
        <v>86</v>
      </c>
      <c r="H30" s="573">
        <v>7.2560000000000002</v>
      </c>
      <c r="I30" s="46" t="s">
        <v>61</v>
      </c>
      <c r="J30" s="177" t="s">
        <v>73</v>
      </c>
      <c r="K30" s="178" t="s">
        <v>87</v>
      </c>
      <c r="L30" s="155"/>
    </row>
    <row r="31" spans="1:12" ht="15" thickBot="1">
      <c r="A31" s="46"/>
      <c r="B31" s="180" t="s">
        <v>88</v>
      </c>
      <c r="C31" s="181"/>
      <c r="D31" s="181"/>
      <c r="E31" s="575">
        <v>22.793717583941891</v>
      </c>
      <c r="F31" s="46" t="s">
        <v>89</v>
      </c>
      <c r="G31" s="147"/>
      <c r="H31" s="573">
        <v>0</v>
      </c>
      <c r="I31" s="46" t="s">
        <v>61</v>
      </c>
      <c r="J31" s="177" t="s">
        <v>73</v>
      </c>
      <c r="K31" s="572"/>
      <c r="L31" s="155"/>
    </row>
    <row r="32" spans="1:12">
      <c r="B32" s="46" t="s">
        <v>90</v>
      </c>
      <c r="C32" s="46"/>
      <c r="D32" s="46"/>
      <c r="E32" s="46"/>
      <c r="F32" s="46"/>
      <c r="G32" s="147" t="s">
        <v>91</v>
      </c>
      <c r="H32" s="573">
        <v>22</v>
      </c>
      <c r="I32" s="46" t="s">
        <v>61</v>
      </c>
      <c r="J32" s="46" t="s">
        <v>73</v>
      </c>
      <c r="K32" s="46" t="s">
        <v>92</v>
      </c>
      <c r="L32" s="155"/>
    </row>
    <row r="33" spans="1:12">
      <c r="B33" t="s">
        <v>93</v>
      </c>
      <c r="E33">
        <v>7</v>
      </c>
      <c r="F33" t="s">
        <v>94</v>
      </c>
      <c r="G33" s="147" t="s">
        <v>95</v>
      </c>
      <c r="H33" s="573">
        <v>90</v>
      </c>
      <c r="I33" s="46" t="s">
        <v>61</v>
      </c>
      <c r="J33" s="177" t="s">
        <v>73</v>
      </c>
      <c r="K33" s="46" t="s">
        <v>92</v>
      </c>
      <c r="L33" s="155"/>
    </row>
    <row r="34" spans="1:12" ht="15" thickBot="1">
      <c r="A34" s="336"/>
      <c r="B34" s="336"/>
      <c r="C34" s="336"/>
      <c r="D34" s="336"/>
      <c r="E34" s="336"/>
      <c r="F34" s="336"/>
      <c r="G34" s="576"/>
      <c r="H34" s="577">
        <v>0</v>
      </c>
      <c r="I34" s="578" t="s">
        <v>61</v>
      </c>
      <c r="J34" s="579" t="s">
        <v>73</v>
      </c>
      <c r="K34" s="578"/>
      <c r="L34" s="580"/>
    </row>
    <row r="35" spans="1:12">
      <c r="A35" s="46"/>
      <c r="B35" s="46"/>
      <c r="C35" s="183"/>
      <c r="D35" s="46"/>
      <c r="F35" s="46"/>
      <c r="G35" s="277"/>
      <c r="I35" s="46"/>
      <c r="J35" s="46"/>
      <c r="K35" s="46"/>
      <c r="L35" s="46"/>
    </row>
    <row r="36" spans="1:12">
      <c r="A36" s="46"/>
      <c r="B36" s="46"/>
      <c r="C36" s="46"/>
      <c r="D36" s="46"/>
      <c r="F36" s="46"/>
      <c r="G36" s="46"/>
      <c r="H36" s="46"/>
      <c r="I36" s="184"/>
      <c r="J36" s="46"/>
      <c r="K36" s="46"/>
      <c r="L36" s="46"/>
    </row>
    <row r="37" spans="1:12">
      <c r="A37" s="46"/>
      <c r="B37" s="46"/>
      <c r="C37" s="46"/>
      <c r="D37" s="46"/>
      <c r="E37" s="46"/>
      <c r="F37" s="46"/>
      <c r="G37" s="46"/>
      <c r="H37" s="46"/>
      <c r="I37" s="184"/>
      <c r="J37" s="46"/>
      <c r="K37" s="46"/>
      <c r="L37" s="46"/>
    </row>
    <row r="38" spans="1:1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spans="1:1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spans="1:12">
      <c r="A40" s="46"/>
      <c r="B40" s="46"/>
      <c r="C40" s="46"/>
      <c r="D40" s="51"/>
      <c r="E40" s="51"/>
      <c r="F40" s="51"/>
      <c r="G40" s="51"/>
      <c r="H40" s="51"/>
      <c r="I40" s="278"/>
      <c r="J40" s="46"/>
      <c r="K40" s="46"/>
      <c r="L40" s="46"/>
    </row>
    <row r="41" spans="1:12">
      <c r="A41" s="46"/>
      <c r="B41" s="46"/>
      <c r="C41" s="46"/>
      <c r="D41" s="51"/>
      <c r="E41" s="51"/>
      <c r="F41" s="51"/>
      <c r="G41" s="51"/>
      <c r="H41" s="51"/>
      <c r="I41" s="278"/>
      <c r="J41" s="164"/>
      <c r="K41" s="51"/>
      <c r="L41" s="46"/>
    </row>
    <row r="42" spans="1:12">
      <c r="A42" s="46"/>
      <c r="B42" s="46"/>
      <c r="C42" s="279"/>
      <c r="D42" s="279"/>
      <c r="E42" s="279"/>
      <c r="F42" s="279"/>
      <c r="G42" s="279"/>
      <c r="H42" s="279"/>
      <c r="I42" s="46"/>
      <c r="J42" s="46"/>
      <c r="K42" s="46"/>
      <c r="L42" s="46"/>
    </row>
    <row r="43" spans="1:1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spans="1:12">
      <c r="B44" s="275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>
      <c r="A45" s="46"/>
      <c r="C45" s="46"/>
      <c r="D45" s="46"/>
      <c r="E45" s="46"/>
      <c r="F45" s="46"/>
      <c r="G45" s="276"/>
      <c r="H45" s="46"/>
      <c r="I45" s="46"/>
      <c r="J45" s="46"/>
      <c r="K45" s="46"/>
      <c r="L45" s="46"/>
    </row>
    <row r="46" spans="1:12">
      <c r="A46" s="46"/>
      <c r="C46" s="46"/>
      <c r="D46" s="46"/>
      <c r="E46" s="46"/>
      <c r="F46" s="276"/>
      <c r="G46" s="46"/>
      <c r="H46" s="46"/>
      <c r="I46" s="185"/>
      <c r="J46" s="46"/>
      <c r="K46" s="46"/>
      <c r="L46" s="46"/>
    </row>
    <row r="47" spans="1:12">
      <c r="A47" s="46"/>
      <c r="C47" s="46"/>
      <c r="D47" s="46"/>
      <c r="E47" s="46"/>
      <c r="F47" s="276"/>
      <c r="G47" s="46"/>
      <c r="H47" s="46"/>
      <c r="I47" s="46"/>
      <c r="J47" s="46"/>
      <c r="K47" s="46"/>
      <c r="L47" s="46"/>
    </row>
    <row r="48" spans="1:12">
      <c r="A48" s="46"/>
      <c r="B48" s="275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5">
      <c r="A49" s="46"/>
      <c r="B49" s="46"/>
      <c r="C49" s="46"/>
      <c r="D49" s="46"/>
      <c r="E49" s="46"/>
      <c r="F49" s="46"/>
      <c r="G49" s="46"/>
      <c r="H49" s="46"/>
      <c r="I49" s="185"/>
      <c r="J49" s="46"/>
      <c r="K49" s="46"/>
      <c r="L49" s="46"/>
    </row>
    <row r="50" spans="1:15">
      <c r="A50" s="46"/>
      <c r="B50" s="46"/>
      <c r="C50" s="46"/>
      <c r="D50" s="46"/>
      <c r="E50" s="46"/>
      <c r="F50" s="46"/>
      <c r="G50" s="46"/>
      <c r="H50" s="46"/>
      <c r="I50" s="185"/>
      <c r="J50" s="46"/>
      <c r="K50" s="46"/>
      <c r="L50" s="46"/>
    </row>
    <row r="51" spans="1:15">
      <c r="A51" s="46"/>
      <c r="B51" s="46"/>
      <c r="C51" s="46"/>
      <c r="D51" s="46"/>
      <c r="E51" s="46"/>
      <c r="F51" s="46"/>
      <c r="G51" s="46"/>
      <c r="H51" s="46"/>
      <c r="I51" s="186"/>
      <c r="J51" s="46"/>
      <c r="K51" s="46"/>
      <c r="L51" s="46"/>
    </row>
    <row r="52" spans="1:15">
      <c r="A52" s="46"/>
      <c r="B52" s="46"/>
      <c r="C52" s="46"/>
      <c r="D52" s="46"/>
      <c r="E52" s="46"/>
      <c r="F52" s="46"/>
      <c r="G52" s="46"/>
      <c r="H52" s="46"/>
      <c r="I52" s="186"/>
      <c r="J52" s="46"/>
      <c r="K52" s="46"/>
      <c r="L52" s="46"/>
    </row>
    <row r="53" spans="1:15">
      <c r="A53" s="46"/>
      <c r="B53" s="46"/>
      <c r="C53" s="46"/>
      <c r="D53" s="46"/>
      <c r="E53" s="46"/>
      <c r="F53" s="46"/>
      <c r="G53" s="46"/>
      <c r="H53" s="46"/>
      <c r="I53" s="187"/>
      <c r="J53" s="46"/>
      <c r="K53" s="46"/>
      <c r="L53" s="46"/>
    </row>
    <row r="54" spans="1:15">
      <c r="A54" s="46"/>
      <c r="B54" s="275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5">
      <c r="A55" s="46"/>
      <c r="B55" s="46"/>
      <c r="C55" s="46"/>
      <c r="D55" s="46"/>
      <c r="E55" s="46"/>
      <c r="F55" s="184"/>
      <c r="G55" s="46"/>
      <c r="H55" s="46"/>
      <c r="I55" s="46"/>
      <c r="J55" s="46"/>
      <c r="K55" s="46"/>
      <c r="L55" s="46"/>
    </row>
    <row r="56" spans="1:15">
      <c r="A56" s="46"/>
      <c r="B56" s="275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1:15">
      <c r="A58" s="46"/>
      <c r="B58" s="46"/>
      <c r="D58" s="46"/>
      <c r="E58" s="46"/>
      <c r="F58" s="280"/>
      <c r="G58" s="46"/>
      <c r="H58" s="46"/>
      <c r="J58" s="46"/>
      <c r="K58" s="46"/>
      <c r="L58" s="46"/>
    </row>
    <row r="59" spans="1:15">
      <c r="A59" s="46"/>
      <c r="B59" s="46"/>
      <c r="D59" s="46"/>
      <c r="E59" s="46"/>
      <c r="F59" s="46"/>
      <c r="G59" s="46"/>
      <c r="H59" s="46"/>
      <c r="I59" s="46"/>
      <c r="J59" s="281"/>
      <c r="K59" s="178"/>
      <c r="L59" s="46"/>
    </row>
    <row r="60" spans="1:15">
      <c r="A60" s="46"/>
      <c r="B60" s="46"/>
      <c r="C60" s="46"/>
      <c r="D60" s="46"/>
      <c r="E60" s="46"/>
      <c r="F60" s="46"/>
      <c r="G60" s="124"/>
      <c r="H60" s="46"/>
      <c r="I60" s="46"/>
      <c r="J60" s="281"/>
      <c r="K60" s="178"/>
      <c r="L60" s="46"/>
    </row>
    <row r="61" spans="1:1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spans="1:1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spans="1:1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O64">
        <f>IF(G64&lt;&gt;0,H64/G64*(1-'RFQ Data'!$I$36),0)</f>
        <v>0</v>
      </c>
    </row>
    <row r="65" spans="1:1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O65">
        <f>IF(G65&lt;&gt;0,H65/G65*(1-'RFQ Data'!$I$36),0)</f>
        <v>0</v>
      </c>
    </row>
    <row r="66" spans="1: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O66">
        <f>IF(G66&lt;&gt;0,H66/G66*(1-'RFQ Data'!$I$36),0)</f>
        <v>0</v>
      </c>
    </row>
    <row r="67" spans="1:1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O67">
        <f>IF(G67&lt;&gt;0,H67/G67*(1-'RFQ Data'!$I$36),0)</f>
        <v>0</v>
      </c>
    </row>
    <row r="68" spans="1:1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O68">
        <f>IF(G68&lt;&gt;0,H68/G68*(1-'RFQ Data'!$I$36),0)</f>
        <v>0</v>
      </c>
    </row>
    <row r="69" spans="1:1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O69">
        <f>IF(G69&lt;&gt;0,H69/G69*(1-'RFQ Data'!$I$36),0)</f>
        <v>0</v>
      </c>
    </row>
    <row r="70" spans="1:1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O70">
        <f>IF(G70&lt;&gt;0,H70/G70*(1-'RFQ Data'!$I$36),0)</f>
        <v>0</v>
      </c>
    </row>
    <row r="71" spans="1:1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O71">
        <f>IF(G71&lt;&gt;0,H71/G71*(1-'RFQ Data'!$I$36),0)</f>
        <v>0</v>
      </c>
    </row>
    <row r="72" spans="1:1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O72">
        <f>IF(G72&lt;&gt;0,H72/G72*(1-'RFQ Data'!$I$36),0)</f>
        <v>0</v>
      </c>
    </row>
    <row r="73" spans="1:1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O73">
        <f>IF(G73&lt;&gt;0,H73/G73*(1-'RFQ Data'!$I$36),0)</f>
        <v>0</v>
      </c>
    </row>
    <row r="74" spans="1:1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O74">
        <f>IF(G74&lt;&gt;0,H74/G74*(1-'RFQ Data'!$I$36),0)</f>
        <v>0</v>
      </c>
    </row>
    <row r="75" spans="1:1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O75">
        <f>IF(G75&lt;&gt;0,H75/G75*(1-'RFQ Data'!$I$36),0)</f>
        <v>0</v>
      </c>
    </row>
    <row r="76" spans="1:1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O76">
        <f>IF(G76&lt;&gt;0,H76/G76*(1-'RFQ Data'!$I$36),0)</f>
        <v>0</v>
      </c>
    </row>
    <row r="77" spans="1:1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O77">
        <f>IF(G77&lt;&gt;0,H77/G77*(1-'RFQ Data'!$I$36),0)</f>
        <v>0</v>
      </c>
    </row>
    <row r="78" spans="1:1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O78">
        <f>IF(G78&lt;&gt;0,H78/G78*(1-'RFQ Data'!$I$36),0)</f>
        <v>0</v>
      </c>
    </row>
    <row r="79" spans="1:1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O79">
        <f>IF(G79&lt;&gt;0,H79/G79*(1-'RFQ Data'!$I$36),0)</f>
        <v>0</v>
      </c>
    </row>
    <row r="80" spans="1:1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O80">
        <f>IF(G80&lt;&gt;0,H80/G80*(1-'RFQ Data'!$I$36),0)</f>
        <v>0</v>
      </c>
    </row>
    <row r="81" spans="1:1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O81">
        <f>IF(G81&lt;&gt;0,H81/G81*(1-'RFQ Data'!$I$36),0)</f>
        <v>0</v>
      </c>
    </row>
    <row r="82" spans="1:1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O82">
        <f>IF(G82&lt;&gt;0,H82/G82*(1-'RFQ Data'!$I$36),0)</f>
        <v>0</v>
      </c>
    </row>
    <row r="83" spans="1:1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O83">
        <f>IF(G83&lt;&gt;0,H83/G83*(1-'RFQ Data'!$I$36),0)</f>
        <v>0</v>
      </c>
    </row>
    <row r="84" spans="1:1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O84">
        <f>IF(G84&lt;&gt;0,H84/G84*(1-'RFQ Data'!$I$36),0)</f>
        <v>0</v>
      </c>
    </row>
    <row r="85" spans="1:1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O85">
        <f>IF(G85&lt;&gt;0,H85/G85*(1-'RFQ Data'!$I$36),0)</f>
        <v>0</v>
      </c>
    </row>
    <row r="86" spans="1:1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O86">
        <f>IF(G86&lt;&gt;0,H86/G86*(1-'RFQ Data'!$I$36),0)</f>
        <v>0</v>
      </c>
    </row>
    <row r="87" spans="1:1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O87">
        <f>IF(G87&lt;&gt;0,H87/G87*(1-'RFQ Data'!$I$36),0)</f>
        <v>0</v>
      </c>
    </row>
    <row r="88" spans="1:1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O88">
        <f>IF(G88&lt;&gt;0,H88/G88*(1-'RFQ Data'!$I$36),0)</f>
        <v>0</v>
      </c>
    </row>
    <row r="89" spans="1:1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O89">
        <f>IF(G89&lt;&gt;0,H89/G89*(1-'RFQ Data'!$I$36),0)</f>
        <v>0</v>
      </c>
    </row>
    <row r="90" spans="1:1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O90">
        <f>IF(G90&lt;&gt;0,H90/G90*(1-'RFQ Data'!$I$36),0)</f>
        <v>0</v>
      </c>
    </row>
    <row r="91" spans="1:1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O91">
        <f>IF(G91&lt;&gt;0,H91/G91*(1-'RFQ Data'!$I$36),0)</f>
        <v>0</v>
      </c>
    </row>
    <row r="92" spans="1:1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spans="1:1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spans="1:1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spans="1:1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spans="1:1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spans="1:1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spans="1:1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spans="1:1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spans="1:1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</row>
  </sheetData>
  <dataValidations count="1">
    <dataValidation type="list" allowBlank="1" showInputMessage="1" showErrorMessage="1" sqref="C7:C8 C11:C15 J13" xr:uid="{A2039C89-7C65-40A1-9D93-9D1D283D097B}">
      <formula1>#REF!</formula1>
    </dataValidation>
  </dataValidations>
  <pageMargins left="0.25" right="0.25" top="0.75" bottom="0.75" header="0.3" footer="0.3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3A7C-16A7-4213-9414-A2E3C734B2B2}">
  <sheetPr codeName="Feuil2">
    <pageSetUpPr fitToPage="1"/>
  </sheetPr>
  <dimension ref="A1:BG87"/>
  <sheetViews>
    <sheetView showGridLines="0" topLeftCell="A27" zoomScale="95" zoomScaleNormal="95" zoomScaleSheetLayoutView="97" workbookViewId="0">
      <selection activeCell="N51" sqref="N51"/>
    </sheetView>
  </sheetViews>
  <sheetFormatPr defaultColWidth="11.42578125" defaultRowHeight="14.45"/>
  <cols>
    <col min="1" max="1" width="21.42578125" customWidth="1"/>
    <col min="2" max="8" width="7.42578125" customWidth="1"/>
    <col min="9" max="9" width="6.5703125" customWidth="1"/>
    <col min="10" max="17" width="10" customWidth="1"/>
    <col min="18" max="18" width="0.5703125" customWidth="1"/>
    <col min="19" max="19" width="2.42578125" customWidth="1"/>
    <col min="20" max="20" width="13.5703125" customWidth="1"/>
    <col min="27" max="27" width="12.5703125" customWidth="1"/>
    <col min="28" max="28" width="2.5703125" customWidth="1"/>
    <col min="29" max="29" width="21.42578125" customWidth="1"/>
    <col min="30" max="36" width="7" customWidth="1"/>
    <col min="37" max="38" width="6.5703125" customWidth="1"/>
    <col min="39" max="39" width="2.5703125" customWidth="1"/>
    <col min="40" max="40" width="11.42578125" customWidth="1"/>
    <col min="41" max="45" width="7.42578125" customWidth="1"/>
    <col min="49" max="49" width="2.5703125" customWidth="1"/>
    <col min="50" max="50" width="25.42578125" customWidth="1"/>
    <col min="51" max="57" width="7" customWidth="1"/>
    <col min="58" max="59" width="6.5703125" customWidth="1"/>
  </cols>
  <sheetData>
    <row r="1" spans="1:58" ht="15.95" thickBot="1">
      <c r="A1" s="530" t="s">
        <v>96</v>
      </c>
      <c r="B1" s="2">
        <v>2025</v>
      </c>
      <c r="C1" s="3">
        <v>2026</v>
      </c>
      <c r="D1" s="3">
        <v>2027</v>
      </c>
      <c r="E1" s="3">
        <v>2028</v>
      </c>
      <c r="F1" s="3">
        <v>2029</v>
      </c>
      <c r="G1" s="4">
        <v>2030</v>
      </c>
      <c r="H1" s="5">
        <v>2031</v>
      </c>
      <c r="K1" s="6" t="s">
        <v>97</v>
      </c>
      <c r="L1" s="7">
        <v>0.30009444505432636</v>
      </c>
      <c r="M1" s="296">
        <v>0.3</v>
      </c>
      <c r="N1" t="s">
        <v>98</v>
      </c>
      <c r="Q1" s="8" t="s">
        <v>99</v>
      </c>
      <c r="S1" s="556" t="s">
        <v>100</v>
      </c>
      <c r="T1" s="532" t="s">
        <v>101</v>
      </c>
      <c r="V1" s="234" t="s">
        <v>102</v>
      </c>
      <c r="AA1" s="8" t="str">
        <f>Q1</f>
        <v>Riyong/RY5.578.100A Riyong China</v>
      </c>
      <c r="AB1" s="320"/>
      <c r="AC1" s="531" t="s">
        <v>103</v>
      </c>
      <c r="AD1" s="2">
        <v>2023</v>
      </c>
      <c r="AE1" s="3">
        <v>2024</v>
      </c>
      <c r="AF1" s="3">
        <v>2025</v>
      </c>
      <c r="AG1" s="3">
        <v>2026</v>
      </c>
      <c r="AH1" s="3">
        <v>2027</v>
      </c>
      <c r="AI1" s="4">
        <v>2028</v>
      </c>
      <c r="AJ1" s="5">
        <v>2029</v>
      </c>
      <c r="AM1" s="556" t="s">
        <v>100</v>
      </c>
      <c r="AN1" s="548" t="s">
        <v>104</v>
      </c>
      <c r="AO1" s="136">
        <f>AE1</f>
        <v>2024</v>
      </c>
      <c r="AP1" s="136">
        <f>AF1</f>
        <v>2025</v>
      </c>
      <c r="AQ1" s="136">
        <f>AG1</f>
        <v>2026</v>
      </c>
      <c r="AR1" s="136">
        <f>AH1</f>
        <v>2027</v>
      </c>
      <c r="AS1" s="136">
        <f>AI1</f>
        <v>2028</v>
      </c>
      <c r="AU1" s="107" t="s">
        <v>105</v>
      </c>
      <c r="AW1" s="556" t="s">
        <v>100</v>
      </c>
      <c r="AX1" s="531" t="s">
        <v>103</v>
      </c>
      <c r="AY1" s="2">
        <v>2023</v>
      </c>
      <c r="AZ1" s="3">
        <v>2024</v>
      </c>
      <c r="BA1" s="3">
        <v>2025</v>
      </c>
      <c r="BB1" s="3">
        <v>2026</v>
      </c>
      <c r="BC1" s="3">
        <v>2027</v>
      </c>
      <c r="BD1" s="4">
        <v>2028</v>
      </c>
      <c r="BE1" s="5">
        <v>2029</v>
      </c>
    </row>
    <row r="2" spans="1:58" ht="15" thickBot="1">
      <c r="A2" s="9" t="s">
        <v>106</v>
      </c>
      <c r="B2" s="10">
        <v>0</v>
      </c>
      <c r="C2" s="11">
        <v>500</v>
      </c>
      <c r="D2" s="11">
        <v>500</v>
      </c>
      <c r="E2" s="11">
        <v>500</v>
      </c>
      <c r="F2" s="11">
        <v>500</v>
      </c>
      <c r="G2" s="12">
        <v>500</v>
      </c>
      <c r="H2" s="13">
        <v>0</v>
      </c>
      <c r="I2">
        <v>500</v>
      </c>
      <c r="K2" s="6" t="s">
        <v>107</v>
      </c>
      <c r="L2" s="14">
        <v>0</v>
      </c>
      <c r="O2" s="6" t="s">
        <v>3</v>
      </c>
      <c r="P2" s="15"/>
      <c r="Q2" s="308" t="s">
        <v>4</v>
      </c>
      <c r="S2" s="556" t="s">
        <v>100</v>
      </c>
      <c r="Y2" s="6" t="s">
        <v>3</v>
      </c>
      <c r="Z2" s="15"/>
      <c r="AA2" s="308" t="str">
        <f>Q2</f>
        <v>25626-BRU-00</v>
      </c>
      <c r="AB2" s="320"/>
      <c r="AC2" s="9" t="s">
        <v>106</v>
      </c>
      <c r="AD2" s="10">
        <v>0</v>
      </c>
      <c r="AE2" s="514">
        <f>IF(AO2="",C2,AO2)</f>
        <v>500</v>
      </c>
      <c r="AF2" s="514">
        <f>IF(AP2="",D2,AP2)</f>
        <v>500</v>
      </c>
      <c r="AG2" s="514">
        <f>IF(AQ2="",E2,AQ2)</f>
        <v>500</v>
      </c>
      <c r="AH2" s="514">
        <f>IF(AR2="",F2,AR2)</f>
        <v>500</v>
      </c>
      <c r="AI2" s="514">
        <f>IF(AS2="",G2,AS2)</f>
        <v>500</v>
      </c>
      <c r="AJ2" s="13">
        <v>0</v>
      </c>
      <c r="AM2" s="556" t="s">
        <v>100</v>
      </c>
      <c r="AN2" s="548" t="s">
        <v>108</v>
      </c>
      <c r="AO2" s="529"/>
      <c r="AP2" s="529"/>
      <c r="AQ2" s="529"/>
      <c r="AR2" s="529"/>
      <c r="AS2" s="529"/>
      <c r="AT2" t="s">
        <v>34</v>
      </c>
      <c r="AU2" s="486">
        <f>AVERAGE(AE2:AI2)</f>
        <v>500</v>
      </c>
      <c r="AW2" s="556" t="s">
        <v>100</v>
      </c>
      <c r="AX2" s="9" t="s">
        <v>106</v>
      </c>
      <c r="AY2" s="10">
        <f>AD2</f>
        <v>0</v>
      </c>
      <c r="AZ2" s="514">
        <f t="shared" ref="AZ2" si="0">AE2</f>
        <v>500</v>
      </c>
      <c r="BA2" s="514">
        <f t="shared" ref="BA2" si="1">AF2</f>
        <v>500</v>
      </c>
      <c r="BB2" s="514">
        <f t="shared" ref="BB2" si="2">AG2</f>
        <v>500</v>
      </c>
      <c r="BC2" s="514">
        <f t="shared" ref="BC2" si="3">AH2</f>
        <v>500</v>
      </c>
      <c r="BD2" s="514">
        <f t="shared" ref="BD2" si="4">AI2</f>
        <v>500</v>
      </c>
      <c r="BE2" s="13">
        <f t="shared" ref="BE2" si="5">AJ2</f>
        <v>0</v>
      </c>
    </row>
    <row r="3" spans="1:58" ht="15.95" thickBot="1">
      <c r="A3" s="16" t="s">
        <v>109</v>
      </c>
      <c r="B3" s="17">
        <v>0</v>
      </c>
      <c r="C3" s="18">
        <v>0</v>
      </c>
      <c r="D3" s="18">
        <v>0</v>
      </c>
      <c r="E3" s="18">
        <v>0</v>
      </c>
      <c r="F3" s="18">
        <v>0</v>
      </c>
      <c r="G3" s="19">
        <v>0</v>
      </c>
      <c r="H3" s="20">
        <v>0</v>
      </c>
      <c r="K3" s="6" t="s">
        <v>110</v>
      </c>
      <c r="L3" s="21">
        <v>1.8335211479255736E-2</v>
      </c>
      <c r="M3" s="545"/>
      <c r="N3" s="322" t="s">
        <v>111</v>
      </c>
      <c r="P3" s="15"/>
      <c r="Q3" s="662" t="e">
        <v>#VALUE!</v>
      </c>
      <c r="S3" s="556" t="s">
        <v>100</v>
      </c>
      <c r="T3" s="474" t="s">
        <v>112</v>
      </c>
      <c r="AB3" s="320"/>
      <c r="AC3" s="16" t="s">
        <v>109</v>
      </c>
      <c r="AD3" s="17">
        <f>B3</f>
        <v>0</v>
      </c>
      <c r="AE3" s="543">
        <f>IF(AO3="",C3,AO3)</f>
        <v>0</v>
      </c>
      <c r="AF3" s="543">
        <f t="shared" ref="AF3" si="6">IF(AP3="",D3,AP3)</f>
        <v>0</v>
      </c>
      <c r="AG3" s="543">
        <f t="shared" ref="AG3" si="7">IF(AQ3="",E3,AQ3)</f>
        <v>0</v>
      </c>
      <c r="AH3" s="543">
        <f t="shared" ref="AH3" si="8">IF(AR3="",F3,AR3)</f>
        <v>0</v>
      </c>
      <c r="AI3" s="544">
        <f t="shared" ref="AI3" si="9">IF(AS3="",G3,AS3)</f>
        <v>0</v>
      </c>
      <c r="AJ3" s="20">
        <f t="shared" ref="AJ3" si="10">H3</f>
        <v>0</v>
      </c>
      <c r="AM3" s="556" t="s">
        <v>100</v>
      </c>
      <c r="AN3" s="548" t="s">
        <v>113</v>
      </c>
      <c r="AO3" s="529"/>
      <c r="AP3" s="554"/>
      <c r="AQ3" s="554"/>
      <c r="AR3" s="554"/>
      <c r="AS3" s="529"/>
      <c r="AT3" t="s">
        <v>114</v>
      </c>
      <c r="AW3" s="556" t="s">
        <v>100</v>
      </c>
      <c r="AX3" s="16" t="s">
        <v>109</v>
      </c>
      <c r="AY3" s="17">
        <f>AD3</f>
        <v>0</v>
      </c>
      <c r="AZ3" s="543">
        <f t="shared" ref="AZ3:BE3" si="11">AE3</f>
        <v>0</v>
      </c>
      <c r="BA3" s="543">
        <f t="shared" si="11"/>
        <v>0</v>
      </c>
      <c r="BB3" s="543">
        <f t="shared" si="11"/>
        <v>0</v>
      </c>
      <c r="BC3" s="543">
        <f t="shared" si="11"/>
        <v>0</v>
      </c>
      <c r="BD3" s="544">
        <f t="shared" si="11"/>
        <v>0</v>
      </c>
      <c r="BE3" s="20">
        <f t="shared" si="11"/>
        <v>0</v>
      </c>
    </row>
    <row r="4" spans="1:58">
      <c r="A4" s="16" t="s">
        <v>115</v>
      </c>
      <c r="B4" s="23">
        <v>0.91768564772135863</v>
      </c>
      <c r="C4" s="24">
        <v>0.91768564772135863</v>
      </c>
      <c r="D4" s="24">
        <v>0.91768564772135863</v>
      </c>
      <c r="E4" s="24">
        <v>0.91768564772135863</v>
      </c>
      <c r="F4" s="24">
        <v>0.91768564772135863</v>
      </c>
      <c r="G4" s="25">
        <v>0.91768564772135863</v>
      </c>
      <c r="H4" s="26">
        <v>0.91768564772135863</v>
      </c>
      <c r="Q4" s="240" t="s">
        <v>116</v>
      </c>
      <c r="S4" s="556" t="s">
        <v>100</v>
      </c>
      <c r="T4" t="s">
        <v>117</v>
      </c>
      <c r="W4" s="204">
        <f>'RFQ Data'!C9</f>
        <v>0</v>
      </c>
      <c r="X4" t="str">
        <f>'RFQ Data'!D9</f>
        <v>RMB</v>
      </c>
      <c r="Y4" t="s">
        <v>118</v>
      </c>
      <c r="AB4" s="320"/>
      <c r="AC4" s="16" t="s">
        <v>115</v>
      </c>
      <c r="AD4" s="23">
        <f>AD7-AD6-AD5</f>
        <v>-0.41544771655806034</v>
      </c>
      <c r="AE4" s="24">
        <f>AD4*(1-AE3)</f>
        <v>-0.41544771655806034</v>
      </c>
      <c r="AF4" s="24">
        <f>AE4*(1-AF3)</f>
        <v>-0.41544771655806034</v>
      </c>
      <c r="AG4" s="24">
        <f t="shared" ref="AG4:AJ4" si="12">AF4*(1-AG3)</f>
        <v>-0.41544771655806034</v>
      </c>
      <c r="AH4" s="24">
        <f t="shared" si="12"/>
        <v>-0.41544771655806034</v>
      </c>
      <c r="AI4" s="25">
        <f t="shared" si="12"/>
        <v>-0.41544771655806034</v>
      </c>
      <c r="AJ4" s="26">
        <f t="shared" si="12"/>
        <v>-0.41544771655806034</v>
      </c>
      <c r="AM4" s="556" t="s">
        <v>100</v>
      </c>
      <c r="AN4" s="553" t="s">
        <v>119</v>
      </c>
      <c r="AW4" s="556" t="s">
        <v>100</v>
      </c>
      <c r="AX4" s="16" t="s">
        <v>115</v>
      </c>
      <c r="AY4" s="23">
        <f t="shared" ref="AY4:BE8" si="13">AD4/$AV$7</f>
        <v>-5.1930964569757543E-2</v>
      </c>
      <c r="AZ4" s="24">
        <f t="shared" si="13"/>
        <v>-5.1930964569757543E-2</v>
      </c>
      <c r="BA4" s="24">
        <f t="shared" si="13"/>
        <v>-5.1930964569757543E-2</v>
      </c>
      <c r="BB4" s="24">
        <f t="shared" si="13"/>
        <v>-5.1930964569757543E-2</v>
      </c>
      <c r="BC4" s="24">
        <f t="shared" si="13"/>
        <v>-5.1930964569757543E-2</v>
      </c>
      <c r="BD4" s="25">
        <f t="shared" si="13"/>
        <v>-5.1930964569757543E-2</v>
      </c>
      <c r="BE4" s="26">
        <f t="shared" si="13"/>
        <v>-5.1930964569757543E-2</v>
      </c>
    </row>
    <row r="5" spans="1:58" ht="15" thickBot="1">
      <c r="A5" s="27" t="s">
        <v>120</v>
      </c>
      <c r="B5" s="28">
        <v>0.10202582462889516</v>
      </c>
      <c r="C5" s="24">
        <v>0.10202582462889516</v>
      </c>
      <c r="D5" s="24">
        <v>0.10202582462889516</v>
      </c>
      <c r="E5" s="24">
        <v>0.10202582462889516</v>
      </c>
      <c r="F5" s="24">
        <v>0.10202582462889516</v>
      </c>
      <c r="G5" s="25">
        <v>0.10202582462889516</v>
      </c>
      <c r="H5" s="26">
        <v>0.10202582462889516</v>
      </c>
      <c r="Q5" s="594" t="s">
        <v>121</v>
      </c>
      <c r="S5" s="556" t="s">
        <v>100</v>
      </c>
      <c r="W5" s="204">
        <f>'RFQ Data'!C8</f>
        <v>0</v>
      </c>
      <c r="X5" t="str">
        <f>'RFQ Data'!D8</f>
        <v>RMB</v>
      </c>
      <c r="Y5" t="s">
        <v>122</v>
      </c>
      <c r="AB5" s="320"/>
      <c r="AC5" s="27" t="s">
        <v>120</v>
      </c>
      <c r="AD5" s="28">
        <f>B5</f>
        <v>0.10202582462889516</v>
      </c>
      <c r="AE5" s="24">
        <f t="shared" ref="AE5:AE6" si="14">C5</f>
        <v>0.10202582462889516</v>
      </c>
      <c r="AF5" s="24">
        <f t="shared" ref="AF5:AF6" si="15">D5</f>
        <v>0.10202582462889516</v>
      </c>
      <c r="AG5" s="24">
        <f t="shared" ref="AG5:AG6" si="16">E5</f>
        <v>0.10202582462889516</v>
      </c>
      <c r="AH5" s="24">
        <f t="shared" ref="AH5:AH6" si="17">F5</f>
        <v>0.10202582462889516</v>
      </c>
      <c r="AI5" s="25">
        <f t="shared" ref="AI5:AI6" si="18">G5</f>
        <v>0.10202582462889516</v>
      </c>
      <c r="AJ5" s="26">
        <f t="shared" ref="AJ5:AJ6" si="19">H5</f>
        <v>0.10202582462889516</v>
      </c>
      <c r="AM5" s="556" t="s">
        <v>100</v>
      </c>
      <c r="AW5" s="556" t="s">
        <v>100</v>
      </c>
      <c r="AX5" s="27" t="s">
        <v>120</v>
      </c>
      <c r="AY5" s="28">
        <f t="shared" si="13"/>
        <v>1.2753228078611895E-2</v>
      </c>
      <c r="AZ5" s="24">
        <f t="shared" si="13"/>
        <v>1.2753228078611895E-2</v>
      </c>
      <c r="BA5" s="24">
        <f t="shared" si="13"/>
        <v>1.2753228078611895E-2</v>
      </c>
      <c r="BB5" s="24">
        <f t="shared" si="13"/>
        <v>1.2753228078611895E-2</v>
      </c>
      <c r="BC5" s="24">
        <f t="shared" si="13"/>
        <v>1.2753228078611895E-2</v>
      </c>
      <c r="BD5" s="25">
        <f t="shared" si="13"/>
        <v>1.2753228078611895E-2</v>
      </c>
      <c r="BE5" s="26">
        <f t="shared" si="13"/>
        <v>1.2753228078611895E-2</v>
      </c>
    </row>
    <row r="6" spans="1:58" ht="15" thickBot="1">
      <c r="A6" s="27" t="s">
        <v>123</v>
      </c>
      <c r="B6" s="28">
        <v>0.3134218919291652</v>
      </c>
      <c r="C6" s="24">
        <v>0.3134218919291652</v>
      </c>
      <c r="D6" s="24">
        <v>0.3134218919291652</v>
      </c>
      <c r="E6" s="24">
        <v>0.3134218919291652</v>
      </c>
      <c r="F6" s="24">
        <v>0.3134218919291652</v>
      </c>
      <c r="G6" s="25">
        <v>0.3134218919291652</v>
      </c>
      <c r="H6" s="26">
        <v>0.3134218919291652</v>
      </c>
      <c r="J6" s="29">
        <v>2025</v>
      </c>
      <c r="K6" s="30">
        <v>2026</v>
      </c>
      <c r="L6" s="30">
        <v>2027</v>
      </c>
      <c r="M6" s="30">
        <v>2028</v>
      </c>
      <c r="N6" s="30">
        <v>2029</v>
      </c>
      <c r="O6" s="31">
        <v>2030</v>
      </c>
      <c r="P6" t="s">
        <v>124</v>
      </c>
      <c r="S6" s="556" t="s">
        <v>100</v>
      </c>
      <c r="AB6" s="320"/>
      <c r="AC6" s="27" t="s">
        <v>123</v>
      </c>
      <c r="AD6" s="28">
        <f t="shared" ref="AD6" si="20">B6</f>
        <v>0.3134218919291652</v>
      </c>
      <c r="AE6" s="24">
        <f t="shared" si="14"/>
        <v>0.3134218919291652</v>
      </c>
      <c r="AF6" s="24">
        <f t="shared" si="15"/>
        <v>0.3134218919291652</v>
      </c>
      <c r="AG6" s="24">
        <f t="shared" si="16"/>
        <v>0.3134218919291652</v>
      </c>
      <c r="AH6" s="24">
        <f t="shared" si="17"/>
        <v>0.3134218919291652</v>
      </c>
      <c r="AI6" s="25">
        <f t="shared" si="18"/>
        <v>0.3134218919291652</v>
      </c>
      <c r="AJ6" s="26">
        <f t="shared" si="19"/>
        <v>0.3134218919291652</v>
      </c>
      <c r="AM6" s="556" t="s">
        <v>100</v>
      </c>
      <c r="AN6" t="s">
        <v>125</v>
      </c>
      <c r="AU6" s="107" t="s">
        <v>126</v>
      </c>
      <c r="AW6" s="556" t="s">
        <v>100</v>
      </c>
      <c r="AX6" s="27" t="s">
        <v>123</v>
      </c>
      <c r="AY6" s="28">
        <f t="shared" si="13"/>
        <v>3.917773649114565E-2</v>
      </c>
      <c r="AZ6" s="24">
        <f t="shared" si="13"/>
        <v>3.917773649114565E-2</v>
      </c>
      <c r="BA6" s="24">
        <f t="shared" si="13"/>
        <v>3.917773649114565E-2</v>
      </c>
      <c r="BB6" s="24">
        <f t="shared" si="13"/>
        <v>3.917773649114565E-2</v>
      </c>
      <c r="BC6" s="24">
        <f t="shared" si="13"/>
        <v>3.917773649114565E-2</v>
      </c>
      <c r="BD6" s="25">
        <f t="shared" si="13"/>
        <v>3.917773649114565E-2</v>
      </c>
      <c r="BE6" s="26">
        <f t="shared" si="13"/>
        <v>3.917773649114565E-2</v>
      </c>
    </row>
    <row r="7" spans="1:58" ht="15" thickBot="1">
      <c r="A7" s="27" t="s">
        <v>127</v>
      </c>
      <c r="B7" s="33">
        <v>1.333133364279419</v>
      </c>
      <c r="C7" s="34">
        <v>1.333133364279419</v>
      </c>
      <c r="D7" s="34">
        <v>1.333133364279419</v>
      </c>
      <c r="E7" s="34">
        <v>1.333133364279419</v>
      </c>
      <c r="F7" s="34">
        <v>1.333133364279419</v>
      </c>
      <c r="G7" s="35">
        <v>1.333133364279419</v>
      </c>
      <c r="H7" s="515">
        <v>1.333133364279419</v>
      </c>
      <c r="I7" s="189" t="s">
        <v>27</v>
      </c>
      <c r="J7" s="36">
        <v>0</v>
      </c>
      <c r="K7" s="37">
        <v>0</v>
      </c>
      <c r="L7" s="37">
        <v>0</v>
      </c>
      <c r="M7" s="37">
        <v>0</v>
      </c>
      <c r="N7" s="37">
        <v>0</v>
      </c>
      <c r="O7" s="38">
        <v>0</v>
      </c>
      <c r="S7" s="556" t="s">
        <v>100</v>
      </c>
      <c r="U7" t="s">
        <v>128</v>
      </c>
      <c r="W7" s="321"/>
      <c r="X7" t="str">
        <f>X4</f>
        <v>RMB</v>
      </c>
      <c r="AA7" s="663" t="s">
        <v>129</v>
      </c>
      <c r="AB7" s="320"/>
      <c r="AC7" s="27" t="s">
        <v>130</v>
      </c>
      <c r="AD7" s="33">
        <f>T12</f>
        <v>0</v>
      </c>
      <c r="AE7" s="34">
        <f t="shared" ref="AE7:AJ7" si="21">+AE4+AE5+AE6</f>
        <v>0</v>
      </c>
      <c r="AF7" s="34">
        <f t="shared" si="21"/>
        <v>0</v>
      </c>
      <c r="AG7" s="34">
        <f t="shared" si="21"/>
        <v>0</v>
      </c>
      <c r="AH7" s="34">
        <f t="shared" si="21"/>
        <v>0</v>
      </c>
      <c r="AI7" s="35">
        <f t="shared" si="21"/>
        <v>0</v>
      </c>
      <c r="AJ7" s="515">
        <f t="shared" si="21"/>
        <v>0</v>
      </c>
      <c r="AK7" s="562" t="str">
        <f>I7</f>
        <v>RMB</v>
      </c>
      <c r="AL7" s="562"/>
      <c r="AM7" s="556" t="s">
        <v>100</v>
      </c>
      <c r="AP7" s="6" t="s">
        <v>68</v>
      </c>
      <c r="AQ7" s="562" t="str">
        <f>$P$52</f>
        <v>EUR</v>
      </c>
      <c r="AR7" t="s">
        <v>131</v>
      </c>
      <c r="AS7" s="157">
        <f>'RFQ Data'!K23</f>
        <v>8</v>
      </c>
      <c r="AT7" s="157" t="str">
        <f>'RFQ Data'!J23</f>
        <v>EURRMB</v>
      </c>
      <c r="AU7" s="569"/>
      <c r="AV7" s="563">
        <f>IF(AU7&lt;&gt;0,AU7,AS7)</f>
        <v>8</v>
      </c>
      <c r="AW7" s="556" t="s">
        <v>100</v>
      </c>
      <c r="AX7" s="27" t="s">
        <v>130</v>
      </c>
      <c r="AY7" s="564">
        <f t="shared" si="13"/>
        <v>0</v>
      </c>
      <c r="AZ7" s="565">
        <f t="shared" si="13"/>
        <v>0</v>
      </c>
      <c r="BA7" s="565">
        <f t="shared" si="13"/>
        <v>0</v>
      </c>
      <c r="BB7" s="565">
        <f t="shared" si="13"/>
        <v>0</v>
      </c>
      <c r="BC7" s="565">
        <f t="shared" si="13"/>
        <v>0</v>
      </c>
      <c r="BD7" s="566">
        <f t="shared" si="13"/>
        <v>0</v>
      </c>
      <c r="BE7" s="567">
        <f t="shared" si="13"/>
        <v>0</v>
      </c>
      <c r="BF7" s="562" t="str">
        <f>$P$52</f>
        <v>EUR</v>
      </c>
    </row>
    <row r="8" spans="1:58" ht="15" thickBot="1">
      <c r="A8" s="39" t="s">
        <v>132</v>
      </c>
      <c r="B8" s="40">
        <v>0</v>
      </c>
      <c r="C8" s="41">
        <v>666.56668213970954</v>
      </c>
      <c r="D8" s="41">
        <v>666.56668213970954</v>
      </c>
      <c r="E8" s="41">
        <v>666.56668213970954</v>
      </c>
      <c r="F8" s="41">
        <v>666.56668213970954</v>
      </c>
      <c r="G8" s="42">
        <v>666.56668213970954</v>
      </c>
      <c r="H8" s="43">
        <v>0</v>
      </c>
      <c r="I8" s="44">
        <v>666.56668213970954</v>
      </c>
      <c r="S8" s="556" t="s">
        <v>100</v>
      </c>
      <c r="AB8" s="320"/>
      <c r="AC8" s="39" t="str">
        <f>A8</f>
        <v>Sales (kRMB)</v>
      </c>
      <c r="AD8" s="40">
        <f>+AD7*AD2</f>
        <v>0</v>
      </c>
      <c r="AE8" s="41">
        <f t="shared" ref="AE8:AJ8" si="22">+AE7*AE2</f>
        <v>0</v>
      </c>
      <c r="AF8" s="41">
        <f t="shared" si="22"/>
        <v>0</v>
      </c>
      <c r="AG8" s="41">
        <f t="shared" si="22"/>
        <v>0</v>
      </c>
      <c r="AH8" s="41">
        <f t="shared" si="22"/>
        <v>0</v>
      </c>
      <c r="AI8" s="42">
        <f t="shared" si="22"/>
        <v>0</v>
      </c>
      <c r="AJ8" s="43">
        <f t="shared" si="22"/>
        <v>0</v>
      </c>
      <c r="AK8" s="44">
        <f>AE8</f>
        <v>0</v>
      </c>
      <c r="AL8" s="44"/>
      <c r="AM8" s="556" t="s">
        <v>100</v>
      </c>
      <c r="AO8" s="372" t="s">
        <v>61</v>
      </c>
      <c r="AP8" s="372" t="s">
        <v>27</v>
      </c>
      <c r="AQ8" s="372" t="s">
        <v>62</v>
      </c>
      <c r="AR8" s="372" t="s">
        <v>63</v>
      </c>
      <c r="AS8" s="373" t="s">
        <v>64</v>
      </c>
      <c r="AU8" s="568" t="s">
        <v>133</v>
      </c>
      <c r="AW8" s="556" t="s">
        <v>100</v>
      </c>
      <c r="AX8" s="39" t="str">
        <f>+"Sales (k"&amp;BF7&amp;")"</f>
        <v>Sales (kEUR)</v>
      </c>
      <c r="AY8" s="40">
        <f t="shared" si="13"/>
        <v>0</v>
      </c>
      <c r="AZ8" s="41">
        <f t="shared" si="13"/>
        <v>0</v>
      </c>
      <c r="BA8" s="41">
        <f t="shared" si="13"/>
        <v>0</v>
      </c>
      <c r="BB8" s="41">
        <f t="shared" si="13"/>
        <v>0</v>
      </c>
      <c r="BC8" s="41">
        <f t="shared" si="13"/>
        <v>0</v>
      </c>
      <c r="BD8" s="42">
        <f t="shared" si="13"/>
        <v>0</v>
      </c>
      <c r="BE8" s="43">
        <f t="shared" si="13"/>
        <v>0</v>
      </c>
      <c r="BF8" s="44">
        <f>AZ8</f>
        <v>0</v>
      </c>
    </row>
    <row r="9" spans="1:58" ht="14.85" customHeight="1" thickBot="1">
      <c r="A9" s="45"/>
      <c r="B9" s="46"/>
      <c r="C9" s="46"/>
      <c r="D9" s="46"/>
      <c r="E9" s="46"/>
      <c r="F9" s="46"/>
      <c r="G9" s="46"/>
      <c r="H9" s="46"/>
      <c r="I9" s="46"/>
      <c r="S9" s="556" t="s">
        <v>100</v>
      </c>
      <c r="T9" s="320"/>
      <c r="U9" s="320"/>
      <c r="V9" s="320"/>
      <c r="W9" s="320"/>
      <c r="X9" s="320"/>
      <c r="Y9" s="320"/>
      <c r="Z9" s="320"/>
      <c r="AA9" s="320"/>
      <c r="AB9" s="320"/>
      <c r="AC9" s="45"/>
      <c r="AD9" s="46"/>
      <c r="AE9" s="46"/>
      <c r="AF9" s="46"/>
      <c r="AG9" s="46"/>
      <c r="AH9" s="46"/>
      <c r="AI9" s="46"/>
      <c r="AJ9" s="46"/>
      <c r="AK9" s="46"/>
      <c r="AL9" s="46"/>
      <c r="AM9" s="556" t="s">
        <v>100</v>
      </c>
      <c r="AO9" s="374">
        <f>'RFQ Data'!H22</f>
        <v>0.125</v>
      </c>
      <c r="AP9" s="374">
        <f>'RFQ Data'!I22</f>
        <v>1</v>
      </c>
      <c r="AQ9" s="374">
        <f>'RFQ Data'!J22</f>
        <v>0.13750000000000001</v>
      </c>
      <c r="AR9" s="374">
        <f>'RFQ Data'!K22</f>
        <v>11.875</v>
      </c>
      <c r="AS9" s="374">
        <f>'RFQ Data'!L22</f>
        <v>0.19500000000000001</v>
      </c>
      <c r="AU9" s="568" t="s">
        <v>134</v>
      </c>
      <c r="AW9" s="556" t="s">
        <v>100</v>
      </c>
      <c r="AX9" s="45"/>
      <c r="AY9" s="46"/>
      <c r="AZ9" s="46"/>
      <c r="BA9" s="46"/>
      <c r="BB9" s="46"/>
      <c r="BC9" s="46"/>
      <c r="BD9" s="46"/>
      <c r="BE9" s="46"/>
      <c r="BF9" s="46"/>
    </row>
    <row r="10" spans="1:58" ht="15.6">
      <c r="A10" s="47" t="s">
        <v>135</v>
      </c>
      <c r="B10" s="10">
        <v>0</v>
      </c>
      <c r="C10" s="48">
        <v>213.7915423221653</v>
      </c>
      <c r="D10" s="48">
        <v>213.7915423221653</v>
      </c>
      <c r="E10" s="48">
        <v>213.7915423221653</v>
      </c>
      <c r="F10" s="48">
        <v>213.7915423221653</v>
      </c>
      <c r="G10" s="49">
        <v>213.7915423221653</v>
      </c>
      <c r="H10" s="50">
        <v>0</v>
      </c>
      <c r="I10" s="51">
        <v>213.7915423221653</v>
      </c>
      <c r="S10" s="556" t="s">
        <v>100</v>
      </c>
      <c r="T10" s="474" t="s">
        <v>136</v>
      </c>
      <c r="Y10" s="479"/>
      <c r="Z10" s="362">
        <f>U49</f>
        <v>1.1519160391050469</v>
      </c>
      <c r="AA10" s="478" t="s">
        <v>137</v>
      </c>
      <c r="AB10" s="320"/>
      <c r="AC10" s="47" t="s">
        <v>135</v>
      </c>
      <c r="AD10" s="10">
        <f>+(AE10+0)/AE$2*AD$2</f>
        <v>0</v>
      </c>
      <c r="AE10" s="48">
        <f>(C10/C$2++SUM(INDEX_IMPACT))*AE$2</f>
        <v>213.7915423221653</v>
      </c>
      <c r="AF10" s="48">
        <f>(D10/D$2++SUM(INDEX_IMPACT))*AF$2</f>
        <v>213.7915423221653</v>
      </c>
      <c r="AG10" s="48">
        <f>(E10/E$2++SUM(INDEX_IMPACT))*AG$2</f>
        <v>213.7915423221653</v>
      </c>
      <c r="AH10" s="48">
        <f>(F10/F$2++SUM(INDEX_IMPACT))*AH$2</f>
        <v>213.7915423221653</v>
      </c>
      <c r="AI10" s="48">
        <f>(G10/G$2++SUM(INDEX_IMPACT))*AI$2</f>
        <v>213.7915423221653</v>
      </c>
      <c r="AJ10" s="50">
        <f>+AI10/AI$2*AJ$2</f>
        <v>0</v>
      </c>
      <c r="AK10" s="51">
        <f>AE10</f>
        <v>213.7915423221653</v>
      </c>
      <c r="AL10" s="51"/>
      <c r="AM10" s="556" t="s">
        <v>100</v>
      </c>
      <c r="AU10" s="568" t="s">
        <v>138</v>
      </c>
      <c r="AW10" s="556" t="s">
        <v>100</v>
      </c>
      <c r="AX10" s="47" t="s">
        <v>135</v>
      </c>
      <c r="AY10" s="10">
        <f t="shared" ref="AY10:BE12" si="23">AD10/$AV$7</f>
        <v>0</v>
      </c>
      <c r="AZ10" s="48">
        <f t="shared" si="23"/>
        <v>26.723942790270662</v>
      </c>
      <c r="BA10" s="48">
        <f t="shared" si="23"/>
        <v>26.723942790270662</v>
      </c>
      <c r="BB10" s="48">
        <f t="shared" si="23"/>
        <v>26.723942790270662</v>
      </c>
      <c r="BC10" s="48">
        <f t="shared" si="23"/>
        <v>26.723942790270662</v>
      </c>
      <c r="BD10" s="48">
        <f t="shared" si="23"/>
        <v>26.723942790270662</v>
      </c>
      <c r="BE10" s="50">
        <f t="shared" si="23"/>
        <v>0</v>
      </c>
      <c r="BF10" s="51">
        <f>AZ10</f>
        <v>26.723942790270662</v>
      </c>
    </row>
    <row r="11" spans="1:58" ht="15" thickBot="1">
      <c r="A11" s="27" t="s">
        <v>139</v>
      </c>
      <c r="B11" s="52">
        <v>0</v>
      </c>
      <c r="C11" s="53">
        <v>1.5223024416237334</v>
      </c>
      <c r="D11" s="53">
        <v>1.5223024416237334</v>
      </c>
      <c r="E11" s="53">
        <v>1.5223024416237334</v>
      </c>
      <c r="F11" s="53">
        <v>1.5223024416237334</v>
      </c>
      <c r="G11" s="54">
        <v>1.5223024416237334</v>
      </c>
      <c r="H11" s="55">
        <v>0</v>
      </c>
      <c r="I11" s="527">
        <v>1.5223024416237334</v>
      </c>
      <c r="S11" s="556" t="s">
        <v>100</v>
      </c>
      <c r="Z11" s="107" t="str">
        <f>$N$52</f>
        <v>RMB</v>
      </c>
      <c r="AA11" s="107" t="str">
        <f>$P$52</f>
        <v>EUR</v>
      </c>
      <c r="AB11" s="320"/>
      <c r="AC11" s="27" t="s">
        <v>139</v>
      </c>
      <c r="AD11" s="52">
        <f>AE11/AE2*AD$2</f>
        <v>0</v>
      </c>
      <c r="AE11" s="53">
        <f t="shared" ref="AE11" si="24">C11/C$2*AE$2</f>
        <v>1.5223024416237334</v>
      </c>
      <c r="AF11" s="53">
        <f t="shared" ref="AF11:AH11" si="25">D11/D$2*AF$2</f>
        <v>1.5223024416237334</v>
      </c>
      <c r="AG11" s="53">
        <f t="shared" si="25"/>
        <v>1.5223024416237334</v>
      </c>
      <c r="AH11" s="53">
        <f t="shared" si="25"/>
        <v>1.5223024416237334</v>
      </c>
      <c r="AI11" s="54">
        <f t="shared" ref="AI11" si="26">G11/G$2*AI$2</f>
        <v>1.5223024416237334</v>
      </c>
      <c r="AJ11" s="55">
        <f>(AI11+0)/AI2*AJ$2</f>
        <v>0</v>
      </c>
      <c r="AK11" s="51">
        <f>AE11</f>
        <v>1.5223024416237334</v>
      </c>
      <c r="AL11" s="51"/>
      <c r="AM11" s="556" t="s">
        <v>100</v>
      </c>
      <c r="AW11" s="556" t="s">
        <v>100</v>
      </c>
      <c r="AX11" s="27" t="s">
        <v>139</v>
      </c>
      <c r="AY11" s="52">
        <f t="shared" si="23"/>
        <v>0</v>
      </c>
      <c r="AZ11" s="53">
        <f t="shared" si="23"/>
        <v>0.19028780520296668</v>
      </c>
      <c r="BA11" s="53">
        <f t="shared" si="23"/>
        <v>0.19028780520296668</v>
      </c>
      <c r="BB11" s="53">
        <f t="shared" si="23"/>
        <v>0.19028780520296668</v>
      </c>
      <c r="BC11" s="53">
        <f t="shared" si="23"/>
        <v>0.19028780520296668</v>
      </c>
      <c r="BD11" s="54">
        <f t="shared" si="23"/>
        <v>0.19028780520296668</v>
      </c>
      <c r="BE11" s="55">
        <f t="shared" si="23"/>
        <v>0</v>
      </c>
      <c r="BF11" s="51">
        <f>AZ11</f>
        <v>0.19028780520296668</v>
      </c>
    </row>
    <row r="12" spans="1:58">
      <c r="A12" s="244" t="s">
        <v>140</v>
      </c>
      <c r="B12" s="56">
        <v>0</v>
      </c>
      <c r="C12" s="57">
        <v>215.31384476378904</v>
      </c>
      <c r="D12" s="57">
        <v>215.31384476378904</v>
      </c>
      <c r="E12" s="57">
        <v>215.31384476378904</v>
      </c>
      <c r="F12" s="57">
        <v>215.31384476378904</v>
      </c>
      <c r="G12" s="58">
        <v>215.31384476378904</v>
      </c>
      <c r="H12" s="59">
        <v>0</v>
      </c>
      <c r="I12" s="46"/>
      <c r="S12" s="556" t="s">
        <v>100</v>
      </c>
      <c r="T12" s="309">
        <f>IF(W7&lt;&gt;0,W7,W4)</f>
        <v>0</v>
      </c>
      <c r="U12" s="204" t="str">
        <f>N52</f>
        <v>RMB</v>
      </c>
      <c r="V12" s="122" t="e">
        <f>Z12/$T$12</f>
        <v>#DIV/0!</v>
      </c>
      <c r="W12" s="90"/>
      <c r="X12" s="91" t="s">
        <v>141</v>
      </c>
      <c r="Y12" s="92"/>
      <c r="Z12" s="93">
        <f>N43+SUM(INDEX_IMPACT)</f>
        <v>0.43062768952757796</v>
      </c>
      <c r="AA12" s="95">
        <f>Z12/$K$52</f>
        <v>5.3828461190947245E-2</v>
      </c>
      <c r="AB12" s="320"/>
      <c r="AC12" s="244" t="s">
        <v>140</v>
      </c>
      <c r="AD12" s="56">
        <f>+AD10+AD11</f>
        <v>0</v>
      </c>
      <c r="AE12" s="57">
        <f t="shared" ref="AE12:AJ12" si="27">+AE10+AE11</f>
        <v>215.31384476378904</v>
      </c>
      <c r="AF12" s="57">
        <f t="shared" si="27"/>
        <v>215.31384476378904</v>
      </c>
      <c r="AG12" s="57">
        <f t="shared" si="27"/>
        <v>215.31384476378904</v>
      </c>
      <c r="AH12" s="57">
        <f t="shared" si="27"/>
        <v>215.31384476378904</v>
      </c>
      <c r="AI12" s="58">
        <f t="shared" si="27"/>
        <v>215.31384476378904</v>
      </c>
      <c r="AJ12" s="59">
        <f t="shared" si="27"/>
        <v>0</v>
      </c>
      <c r="AK12" s="46"/>
      <c r="AL12" s="46"/>
      <c r="AM12" s="556" t="s">
        <v>100</v>
      </c>
      <c r="AW12" s="556" t="s">
        <v>100</v>
      </c>
      <c r="AX12" s="244" t="s">
        <v>140</v>
      </c>
      <c r="AY12" s="56">
        <f t="shared" si="23"/>
        <v>0</v>
      </c>
      <c r="AZ12" s="57">
        <f t="shared" si="23"/>
        <v>26.914230595473629</v>
      </c>
      <c r="BA12" s="57">
        <f t="shared" si="23"/>
        <v>26.914230595473629</v>
      </c>
      <c r="BB12" s="57">
        <f t="shared" si="23"/>
        <v>26.914230595473629</v>
      </c>
      <c r="BC12" s="57">
        <f t="shared" si="23"/>
        <v>26.914230595473629</v>
      </c>
      <c r="BD12" s="58">
        <f t="shared" si="23"/>
        <v>26.914230595473629</v>
      </c>
      <c r="BE12" s="59">
        <f t="shared" si="23"/>
        <v>0</v>
      </c>
      <c r="BF12" s="46"/>
    </row>
    <row r="13" spans="1:58" ht="15" thickBot="1">
      <c r="A13" s="245"/>
      <c r="B13" s="60">
        <v>0</v>
      </c>
      <c r="C13" s="61">
        <v>0.32073541635157143</v>
      </c>
      <c r="D13" s="61">
        <v>0.32073541635157143</v>
      </c>
      <c r="E13" s="61">
        <v>0.32073541635157143</v>
      </c>
      <c r="F13" s="61">
        <v>0.32073541635157143</v>
      </c>
      <c r="G13" s="62">
        <v>0.32073541635157143</v>
      </c>
      <c r="H13" s="63">
        <v>0</v>
      </c>
      <c r="I13" s="46"/>
      <c r="S13" s="556" t="s">
        <v>100</v>
      </c>
      <c r="V13" s="122" t="e">
        <f>(Z13+Z14+Z15)/$T$12</f>
        <v>#DIV/0!</v>
      </c>
      <c r="W13" s="311" t="s">
        <v>142</v>
      </c>
      <c r="X13" s="96" t="s">
        <v>143</v>
      </c>
      <c r="Y13" s="92"/>
      <c r="Z13" s="93">
        <f t="shared" ref="Z13:Z15" si="28">N44</f>
        <v>6.0738826260853945E-2</v>
      </c>
      <c r="AA13" s="95">
        <f t="shared" ref="AA13:AA18" si="29">Z13/$K$52</f>
        <v>7.5923532826067432E-3</v>
      </c>
      <c r="AB13" s="320"/>
      <c r="AC13" s="245"/>
      <c r="AD13" s="60">
        <f t="shared" ref="AD13:AI13" si="30">+IF(AD8&lt;&gt;0,AD10/AD8,0)</f>
        <v>0</v>
      </c>
      <c r="AE13" s="61">
        <f t="shared" si="30"/>
        <v>0</v>
      </c>
      <c r="AF13" s="61">
        <f t="shared" si="30"/>
        <v>0</v>
      </c>
      <c r="AG13" s="61">
        <f t="shared" si="30"/>
        <v>0</v>
      </c>
      <c r="AH13" s="61">
        <f t="shared" si="30"/>
        <v>0</v>
      </c>
      <c r="AI13" s="62">
        <f t="shared" si="30"/>
        <v>0</v>
      </c>
      <c r="AJ13" s="63">
        <f>+IF(AJ8&lt;&gt;0,AJ10/AJ8,0)</f>
        <v>0</v>
      </c>
      <c r="AK13" s="46"/>
      <c r="AL13" s="46"/>
      <c r="AM13" s="556" t="s">
        <v>100</v>
      </c>
      <c r="AW13" s="556" t="s">
        <v>100</v>
      </c>
      <c r="AX13" s="245"/>
      <c r="AY13" s="60">
        <f>AD13</f>
        <v>0</v>
      </c>
      <c r="AZ13" s="61">
        <f t="shared" ref="AZ13" si="31">AE13</f>
        <v>0</v>
      </c>
      <c r="BA13" s="61">
        <f t="shared" ref="BA13" si="32">AF13</f>
        <v>0</v>
      </c>
      <c r="BB13" s="61">
        <f t="shared" ref="BB13" si="33">AG13</f>
        <v>0</v>
      </c>
      <c r="BC13" s="61">
        <f t="shared" ref="BC13" si="34">AH13</f>
        <v>0</v>
      </c>
      <c r="BD13" s="62">
        <f t="shared" ref="BD13" si="35">AI13</f>
        <v>0</v>
      </c>
      <c r="BE13" s="63">
        <f t="shared" ref="BE13" si="36">AJ13</f>
        <v>0</v>
      </c>
      <c r="BF13" s="46"/>
    </row>
    <row r="14" spans="1:58" ht="15" thickBot="1">
      <c r="A14" s="45"/>
      <c r="B14" s="46"/>
      <c r="C14" s="46"/>
      <c r="D14" s="46"/>
      <c r="E14" s="46"/>
      <c r="F14" s="46"/>
      <c r="G14" s="46"/>
      <c r="H14" s="46"/>
      <c r="I14" s="46"/>
      <c r="S14" s="556" t="s">
        <v>100</v>
      </c>
      <c r="T14" s="309">
        <f>T12/K52</f>
        <v>0</v>
      </c>
      <c r="U14" t="str">
        <f>P52</f>
        <v>EUR</v>
      </c>
      <c r="W14" s="312"/>
      <c r="X14" s="96" t="s">
        <v>144</v>
      </c>
      <c r="Y14" s="92"/>
      <c r="Z14" s="93">
        <f t="shared" si="28"/>
        <v>0.136882199242231</v>
      </c>
      <c r="AA14" s="95">
        <f t="shared" si="29"/>
        <v>1.7110274905278874E-2</v>
      </c>
      <c r="AB14" s="320"/>
      <c r="AC14" s="45"/>
      <c r="AD14" s="46"/>
      <c r="AE14" s="46"/>
      <c r="AF14" s="46"/>
      <c r="AG14" s="46"/>
      <c r="AH14" s="46"/>
      <c r="AI14" s="46"/>
      <c r="AJ14" s="46"/>
      <c r="AK14" s="46"/>
      <c r="AL14" s="46"/>
      <c r="AM14" s="556" t="s">
        <v>100</v>
      </c>
      <c r="AW14" s="556" t="s">
        <v>100</v>
      </c>
      <c r="AX14" s="45"/>
      <c r="AY14" s="46"/>
      <c r="AZ14" s="46"/>
      <c r="BA14" s="46"/>
      <c r="BB14" s="46"/>
      <c r="BC14" s="46"/>
      <c r="BD14" s="46"/>
      <c r="BE14" s="46"/>
      <c r="BF14" s="46"/>
    </row>
    <row r="15" spans="1:58">
      <c r="A15" s="246" t="s">
        <v>143</v>
      </c>
      <c r="B15" s="64">
        <v>0</v>
      </c>
      <c r="C15" s="48">
        <v>30.369413130426977</v>
      </c>
      <c r="D15" s="48">
        <v>30.369413130426977</v>
      </c>
      <c r="E15" s="48">
        <v>30.369413130426977</v>
      </c>
      <c r="F15" s="48">
        <v>30.369413130426977</v>
      </c>
      <c r="G15" s="49">
        <v>30.369413130426977</v>
      </c>
      <c r="H15" s="50">
        <v>0</v>
      </c>
      <c r="I15" s="51">
        <v>30.369413130426977</v>
      </c>
      <c r="S15" s="556" t="s">
        <v>100</v>
      </c>
      <c r="W15" s="313"/>
      <c r="X15" s="96" t="s">
        <v>145</v>
      </c>
      <c r="Y15" s="92"/>
      <c r="Z15" s="93">
        <f t="shared" si="28"/>
        <v>0.15484530223585236</v>
      </c>
      <c r="AA15" s="95">
        <f t="shared" si="29"/>
        <v>1.9355662779481544E-2</v>
      </c>
      <c r="AB15" s="320"/>
      <c r="AC15" s="246" t="s">
        <v>143</v>
      </c>
      <c r="AD15" s="64">
        <f>+AE15/AE$2*AD$2</f>
        <v>0</v>
      </c>
      <c r="AE15" s="48">
        <f>C15/C$2*AE$2</f>
        <v>30.369413130426977</v>
      </c>
      <c r="AF15" s="48">
        <f t="shared" ref="AF15" si="37">D15/D$2*AF$2</f>
        <v>30.369413130426977</v>
      </c>
      <c r="AG15" s="48">
        <f t="shared" ref="AG15" si="38">E15/E$2*AG$2</f>
        <v>30.369413130426977</v>
      </c>
      <c r="AH15" s="48">
        <f t="shared" ref="AH15" si="39">F15/F$2*AH$2</f>
        <v>30.369413130426977</v>
      </c>
      <c r="AI15" s="49">
        <f>+AH15/AH$2*AI$2</f>
        <v>30.369413130426977</v>
      </c>
      <c r="AJ15" s="50">
        <f>+AI15/AI$2*AJ$2</f>
        <v>0</v>
      </c>
      <c r="AK15" s="51">
        <f>AE15</f>
        <v>30.369413130426977</v>
      </c>
      <c r="AL15" s="51"/>
      <c r="AM15" s="556" t="s">
        <v>100</v>
      </c>
      <c r="AW15" s="556" t="s">
        <v>100</v>
      </c>
      <c r="AX15" s="246" t="s">
        <v>143</v>
      </c>
      <c r="AY15" s="64">
        <f t="shared" ref="AY15:BE15" si="40">AD15/$AV$7</f>
        <v>0</v>
      </c>
      <c r="AZ15" s="48">
        <f t="shared" si="40"/>
        <v>3.7961766413033722</v>
      </c>
      <c r="BA15" s="48">
        <f t="shared" si="40"/>
        <v>3.7961766413033722</v>
      </c>
      <c r="BB15" s="48">
        <f t="shared" si="40"/>
        <v>3.7961766413033722</v>
      </c>
      <c r="BC15" s="48">
        <f t="shared" si="40"/>
        <v>3.7961766413033722</v>
      </c>
      <c r="BD15" s="49">
        <f t="shared" si="40"/>
        <v>3.7961766413033722</v>
      </c>
      <c r="BE15" s="50">
        <f t="shared" si="40"/>
        <v>0</v>
      </c>
      <c r="BF15" s="51">
        <f>AZ15</f>
        <v>3.7961766413033722</v>
      </c>
    </row>
    <row r="16" spans="1:58" ht="15" thickBot="1">
      <c r="A16" s="247"/>
      <c r="B16" s="65">
        <v>0</v>
      </c>
      <c r="C16" s="66">
        <v>4.5560952781107771E-2</v>
      </c>
      <c r="D16" s="66">
        <v>4.5560952781107771E-2</v>
      </c>
      <c r="E16" s="66">
        <v>4.5560952781107771E-2</v>
      </c>
      <c r="F16" s="66">
        <v>4.5560952781107771E-2</v>
      </c>
      <c r="G16" s="67">
        <v>4.5560952781107771E-2</v>
      </c>
      <c r="H16" s="68">
        <v>0</v>
      </c>
      <c r="I16" s="46"/>
      <c r="S16" s="556" t="s">
        <v>100</v>
      </c>
      <c r="V16" s="595" t="e">
        <f>(Z16+Z17+Z18)/$T$12</f>
        <v>#DIV/0!</v>
      </c>
      <c r="W16" s="314" t="s">
        <v>146</v>
      </c>
      <c r="X16" s="96" t="s">
        <v>147</v>
      </c>
      <c r="Y16" s="92"/>
      <c r="Z16" s="93">
        <f>Y47</f>
        <v>0.19868334923889255</v>
      </c>
      <c r="AA16" s="95">
        <f t="shared" si="29"/>
        <v>2.4835418654861569E-2</v>
      </c>
      <c r="AB16" s="320"/>
      <c r="AC16" s="247"/>
      <c r="AD16" s="65">
        <f>+IF(AD$8&lt;&gt;0,AD15/AD$8,0)</f>
        <v>0</v>
      </c>
      <c r="AE16" s="66">
        <f t="shared" ref="AE16:AJ16" si="41">+IF(AE$8&lt;&gt;0,AE15/AE$8,0)</f>
        <v>0</v>
      </c>
      <c r="AF16" s="66">
        <f t="shared" si="41"/>
        <v>0</v>
      </c>
      <c r="AG16" s="66">
        <f t="shared" si="41"/>
        <v>0</v>
      </c>
      <c r="AH16" s="66">
        <f t="shared" si="41"/>
        <v>0</v>
      </c>
      <c r="AI16" s="67">
        <f t="shared" si="41"/>
        <v>0</v>
      </c>
      <c r="AJ16" s="68">
        <f t="shared" si="41"/>
        <v>0</v>
      </c>
      <c r="AK16" s="46"/>
      <c r="AL16" s="46"/>
      <c r="AM16" s="556" t="s">
        <v>100</v>
      </c>
      <c r="AW16" s="556" t="s">
        <v>100</v>
      </c>
      <c r="AX16" s="247"/>
      <c r="AY16" s="65">
        <f>AD16</f>
        <v>0</v>
      </c>
      <c r="AZ16" s="66">
        <f t="shared" ref="AZ16" si="42">AE16</f>
        <v>0</v>
      </c>
      <c r="BA16" s="66">
        <f t="shared" ref="BA16" si="43">AF16</f>
        <v>0</v>
      </c>
      <c r="BB16" s="66">
        <f t="shared" ref="BB16" si="44">AG16</f>
        <v>0</v>
      </c>
      <c r="BC16" s="66">
        <f t="shared" ref="BC16" si="45">AH16</f>
        <v>0</v>
      </c>
      <c r="BD16" s="67">
        <f t="shared" ref="BD16" si="46">AI16</f>
        <v>0</v>
      </c>
      <c r="BE16" s="68">
        <f t="shared" ref="BE16" si="47">AJ16</f>
        <v>0</v>
      </c>
      <c r="BF16" s="46"/>
    </row>
    <row r="17" spans="1:58">
      <c r="A17" s="246" t="s">
        <v>144</v>
      </c>
      <c r="B17" s="64">
        <v>0</v>
      </c>
      <c r="C17" s="48">
        <v>68.441099621115512</v>
      </c>
      <c r="D17" s="48">
        <v>68.441099621115512</v>
      </c>
      <c r="E17" s="48">
        <v>68.441099621115512</v>
      </c>
      <c r="F17" s="48">
        <v>68.441099621115512</v>
      </c>
      <c r="G17" s="49">
        <v>68.441099621115512</v>
      </c>
      <c r="H17" s="50">
        <v>0</v>
      </c>
      <c r="I17" s="51">
        <v>68.441099621115512</v>
      </c>
      <c r="S17" s="556" t="s">
        <v>100</v>
      </c>
      <c r="W17" s="315"/>
      <c r="X17" s="96" t="s">
        <v>148</v>
      </c>
      <c r="Y17" s="92"/>
      <c r="Z17" s="93">
        <f>Y48</f>
        <v>0.13113101049766906</v>
      </c>
      <c r="AA17" s="95">
        <f t="shared" si="29"/>
        <v>1.6391376312208633E-2</v>
      </c>
      <c r="AB17" s="320"/>
      <c r="AC17" s="246" t="s">
        <v>144</v>
      </c>
      <c r="AD17" s="64">
        <f>+AE17/AE$2*AD$2</f>
        <v>0</v>
      </c>
      <c r="AE17" s="48">
        <f>C17/C$2*AE$2</f>
        <v>68.441099621115512</v>
      </c>
      <c r="AF17" s="48">
        <f t="shared" ref="AF17" si="48">D17/D$2*AF$2</f>
        <v>68.441099621115512</v>
      </c>
      <c r="AG17" s="48">
        <f t="shared" ref="AG17" si="49">E17/E$2*AG$2</f>
        <v>68.441099621115512</v>
      </c>
      <c r="AH17" s="48">
        <f t="shared" ref="AH17" si="50">F17/F$2*AH$2</f>
        <v>68.441099621115512</v>
      </c>
      <c r="AI17" s="49">
        <f>+AH17/AH$2*AI$2</f>
        <v>68.441099621115512</v>
      </c>
      <c r="AJ17" s="50">
        <f>+AI17/AI$2*AJ$2</f>
        <v>0</v>
      </c>
      <c r="AK17" s="51">
        <f>AE17</f>
        <v>68.441099621115512</v>
      </c>
      <c r="AL17" s="51"/>
      <c r="AM17" s="556" t="s">
        <v>100</v>
      </c>
      <c r="AW17" s="556" t="s">
        <v>100</v>
      </c>
      <c r="AX17" s="246" t="s">
        <v>144</v>
      </c>
      <c r="AY17" s="64">
        <f t="shared" ref="AY17:BE17" si="51">AD17/$AV$7</f>
        <v>0</v>
      </c>
      <c r="AZ17" s="48">
        <f t="shared" si="51"/>
        <v>8.555137452639439</v>
      </c>
      <c r="BA17" s="48">
        <f t="shared" si="51"/>
        <v>8.555137452639439</v>
      </c>
      <c r="BB17" s="48">
        <f t="shared" si="51"/>
        <v>8.555137452639439</v>
      </c>
      <c r="BC17" s="48">
        <f t="shared" si="51"/>
        <v>8.555137452639439</v>
      </c>
      <c r="BD17" s="49">
        <f t="shared" si="51"/>
        <v>8.555137452639439</v>
      </c>
      <c r="BE17" s="50">
        <f t="shared" si="51"/>
        <v>0</v>
      </c>
      <c r="BF17" s="51">
        <f>AZ17</f>
        <v>8.555137452639439</v>
      </c>
    </row>
    <row r="18" spans="1:58" ht="15" thickBot="1">
      <c r="A18" s="248"/>
      <c r="B18" s="65">
        <v>0</v>
      </c>
      <c r="C18" s="66">
        <v>0.10267704860587458</v>
      </c>
      <c r="D18" s="66">
        <v>0.10267704860587458</v>
      </c>
      <c r="E18" s="66">
        <v>0.10267704860587458</v>
      </c>
      <c r="F18" s="66">
        <v>0.10267704860587458</v>
      </c>
      <c r="G18" s="67">
        <v>0.10267704860587458</v>
      </c>
      <c r="H18" s="69">
        <v>0</v>
      </c>
      <c r="I18" s="46"/>
      <c r="S18" s="556" t="s">
        <v>100</v>
      </c>
      <c r="W18" s="317"/>
      <c r="X18" s="96" t="s">
        <v>149</v>
      </c>
      <c r="Y18" s="92"/>
      <c r="Z18" s="319">
        <f>T12-SUM(Z12:Z17)</f>
        <v>-1.1129083770030768</v>
      </c>
      <c r="AA18" s="559">
        <f t="shared" si="29"/>
        <v>-0.1391135471253846</v>
      </c>
      <c r="AB18" s="320"/>
      <c r="AC18" s="248"/>
      <c r="AD18" s="65">
        <f>+IF(AD$8&lt;&gt;0,AD17/AD$8,0)</f>
        <v>0</v>
      </c>
      <c r="AE18" s="66">
        <f t="shared" ref="AE18:AJ18" si="52">+IF(AE$8&lt;&gt;0,AE17/AE$8,0)</f>
        <v>0</v>
      </c>
      <c r="AF18" s="66">
        <f t="shared" si="52"/>
        <v>0</v>
      </c>
      <c r="AG18" s="66">
        <f t="shared" si="52"/>
        <v>0</v>
      </c>
      <c r="AH18" s="66">
        <f t="shared" si="52"/>
        <v>0</v>
      </c>
      <c r="AI18" s="67">
        <f t="shared" si="52"/>
        <v>0</v>
      </c>
      <c r="AJ18" s="69">
        <f t="shared" si="52"/>
        <v>0</v>
      </c>
      <c r="AK18" s="46"/>
      <c r="AL18" s="46"/>
      <c r="AM18" s="556" t="s">
        <v>100</v>
      </c>
      <c r="AW18" s="556" t="s">
        <v>100</v>
      </c>
      <c r="AX18" s="248"/>
      <c r="AY18" s="65">
        <f>AD18</f>
        <v>0</v>
      </c>
      <c r="AZ18" s="66">
        <f t="shared" ref="AZ18" si="53">AE18</f>
        <v>0</v>
      </c>
      <c r="BA18" s="66">
        <f t="shared" ref="BA18" si="54">AF18</f>
        <v>0</v>
      </c>
      <c r="BB18" s="66">
        <f t="shared" ref="BB18" si="55">AG18</f>
        <v>0</v>
      </c>
      <c r="BC18" s="66">
        <f t="shared" ref="BC18" si="56">AH18</f>
        <v>0</v>
      </c>
      <c r="BD18" s="67">
        <f t="shared" ref="BD18" si="57">AI18</f>
        <v>0</v>
      </c>
      <c r="BE18" s="69">
        <f t="shared" ref="BE18" si="58">AJ18</f>
        <v>0</v>
      </c>
      <c r="BF18" s="46"/>
    </row>
    <row r="19" spans="1:58">
      <c r="A19" s="47" t="s">
        <v>150</v>
      </c>
      <c r="B19" s="10">
        <v>0</v>
      </c>
      <c r="C19" s="48">
        <v>27.932041245102347</v>
      </c>
      <c r="D19" s="48">
        <v>27.932041245102347</v>
      </c>
      <c r="E19" s="48">
        <v>27.932041245102347</v>
      </c>
      <c r="F19" s="48">
        <v>27.932041245102347</v>
      </c>
      <c r="G19" s="49">
        <v>27.932041245102347</v>
      </c>
      <c r="H19" s="50">
        <v>0</v>
      </c>
      <c r="I19" s="51"/>
      <c r="S19" s="556" t="s">
        <v>100</v>
      </c>
      <c r="AB19" s="320"/>
      <c r="AC19" s="47" t="s">
        <v>150</v>
      </c>
      <c r="AD19" s="516">
        <f>+AE19/AE$2*AD$2</f>
        <v>0</v>
      </c>
      <c r="AE19" s="517">
        <f>C19/C$2*AE$2</f>
        <v>27.932041245102347</v>
      </c>
      <c r="AF19" s="517">
        <f t="shared" ref="AF19" si="59">D19/D$2*AF$2</f>
        <v>27.932041245102347</v>
      </c>
      <c r="AG19" s="517">
        <f t="shared" ref="AG19" si="60">E19/E$2*AG$2</f>
        <v>27.932041245102347</v>
      </c>
      <c r="AH19" s="517">
        <f t="shared" ref="AH19" si="61">F19/F$2*AH$2</f>
        <v>27.932041245102347</v>
      </c>
      <c r="AI19" s="518">
        <f>+AH19/AH$2*AI$2</f>
        <v>27.932041245102347</v>
      </c>
      <c r="AJ19" s="519">
        <f>+AI19/AI$2*AJ$2</f>
        <v>0</v>
      </c>
      <c r="AK19" s="51"/>
      <c r="AL19" s="51"/>
      <c r="AM19" s="556" t="s">
        <v>100</v>
      </c>
      <c r="AW19" s="556" t="s">
        <v>100</v>
      </c>
      <c r="AX19" s="47" t="s">
        <v>150</v>
      </c>
      <c r="AY19" s="516">
        <f t="shared" ref="AY19:BE21" si="62">AD19/$AV$7</f>
        <v>0</v>
      </c>
      <c r="AZ19" s="517">
        <f t="shared" si="62"/>
        <v>3.4915051556377934</v>
      </c>
      <c r="BA19" s="517">
        <f t="shared" si="62"/>
        <v>3.4915051556377934</v>
      </c>
      <c r="BB19" s="517">
        <f t="shared" si="62"/>
        <v>3.4915051556377934</v>
      </c>
      <c r="BC19" s="517">
        <f t="shared" si="62"/>
        <v>3.4915051556377934</v>
      </c>
      <c r="BD19" s="518">
        <f t="shared" si="62"/>
        <v>3.4915051556377934</v>
      </c>
      <c r="BE19" s="519">
        <f t="shared" si="62"/>
        <v>0</v>
      </c>
      <c r="BF19" s="51"/>
    </row>
    <row r="20" spans="1:58" ht="15" thickBot="1">
      <c r="A20" s="70" t="s">
        <v>151</v>
      </c>
      <c r="B20" s="71">
        <v>0</v>
      </c>
      <c r="C20" s="72">
        <v>49.490609872823846</v>
      </c>
      <c r="D20" s="72">
        <v>49.490609872823846</v>
      </c>
      <c r="E20" s="72">
        <v>49.490609872823846</v>
      </c>
      <c r="F20" s="72">
        <v>49.490609872823846</v>
      </c>
      <c r="G20" s="73">
        <v>49.490609872823846</v>
      </c>
      <c r="H20" s="74">
        <v>0</v>
      </c>
      <c r="I20" s="51"/>
      <c r="S20" s="556" t="s">
        <v>100</v>
      </c>
      <c r="AB20" s="320"/>
      <c r="AC20" s="70" t="s">
        <v>151</v>
      </c>
      <c r="AD20" s="520">
        <f>+AE20/AE$2*AD$2</f>
        <v>0</v>
      </c>
      <c r="AE20" s="521">
        <f>C20/C$2*AE$2</f>
        <v>49.490609872823846</v>
      </c>
      <c r="AF20" s="521">
        <f t="shared" ref="AF20" si="63">D20/D$2*AF$2</f>
        <v>49.490609872823846</v>
      </c>
      <c r="AG20" s="521">
        <f t="shared" ref="AG20" si="64">E20/E$2*AG$2</f>
        <v>49.490609872823846</v>
      </c>
      <c r="AH20" s="521">
        <f t="shared" ref="AH20" si="65">F20/F$2*AH$2</f>
        <v>49.490609872823846</v>
      </c>
      <c r="AI20" s="522">
        <f>+AH20/AH$2*AI$2</f>
        <v>49.490609872823846</v>
      </c>
      <c r="AJ20" s="523">
        <f>+AI20/AI$2*AJ$2</f>
        <v>0</v>
      </c>
      <c r="AK20" s="51"/>
      <c r="AL20" s="51"/>
      <c r="AM20" s="556" t="s">
        <v>100</v>
      </c>
      <c r="AW20" s="556" t="s">
        <v>100</v>
      </c>
      <c r="AX20" s="70" t="s">
        <v>151</v>
      </c>
      <c r="AY20" s="520">
        <f t="shared" si="62"/>
        <v>0</v>
      </c>
      <c r="AZ20" s="521">
        <f t="shared" si="62"/>
        <v>6.1863262341029808</v>
      </c>
      <c r="BA20" s="521">
        <f t="shared" si="62"/>
        <v>6.1863262341029808</v>
      </c>
      <c r="BB20" s="521">
        <f t="shared" si="62"/>
        <v>6.1863262341029808</v>
      </c>
      <c r="BC20" s="521">
        <f t="shared" si="62"/>
        <v>6.1863262341029808</v>
      </c>
      <c r="BD20" s="522">
        <f t="shared" si="62"/>
        <v>6.1863262341029808</v>
      </c>
      <c r="BE20" s="523">
        <f t="shared" si="62"/>
        <v>0</v>
      </c>
      <c r="BF20" s="51"/>
    </row>
    <row r="21" spans="1:58">
      <c r="A21" s="249" t="s">
        <v>152</v>
      </c>
      <c r="B21" s="75">
        <v>0</v>
      </c>
      <c r="C21" s="76">
        <v>77.422651117926193</v>
      </c>
      <c r="D21" s="76">
        <v>77.422651117926193</v>
      </c>
      <c r="E21" s="76">
        <v>77.422651117926193</v>
      </c>
      <c r="F21" s="76">
        <v>77.422651117926193</v>
      </c>
      <c r="G21" s="77">
        <v>77.422651117926193</v>
      </c>
      <c r="H21" s="78">
        <v>0</v>
      </c>
      <c r="I21" s="51">
        <v>77.422651117926193</v>
      </c>
      <c r="S21" s="556" t="s">
        <v>100</v>
      </c>
      <c r="AB21" s="320"/>
      <c r="AC21" s="249" t="s">
        <v>152</v>
      </c>
      <c r="AD21" s="524">
        <f>+AD19+AD20</f>
        <v>0</v>
      </c>
      <c r="AE21" s="133">
        <f t="shared" ref="AE21:AH21" si="66">+AE19+AE20</f>
        <v>77.422651117926193</v>
      </c>
      <c r="AF21" s="133">
        <f t="shared" si="66"/>
        <v>77.422651117926193</v>
      </c>
      <c r="AG21" s="133">
        <f t="shared" si="66"/>
        <v>77.422651117926193</v>
      </c>
      <c r="AH21" s="133">
        <f t="shared" si="66"/>
        <v>77.422651117926193</v>
      </c>
      <c r="AI21" s="525">
        <f>+AI19+AI20</f>
        <v>77.422651117926193</v>
      </c>
      <c r="AJ21" s="78">
        <f t="shared" ref="AJ21" si="67">+AJ19+AJ20</f>
        <v>0</v>
      </c>
      <c r="AK21" s="51">
        <f>AE21</f>
        <v>77.422651117926193</v>
      </c>
      <c r="AL21" s="51"/>
      <c r="AM21" s="556" t="s">
        <v>100</v>
      </c>
      <c r="AW21" s="556" t="s">
        <v>100</v>
      </c>
      <c r="AX21" s="249" t="s">
        <v>152</v>
      </c>
      <c r="AY21" s="524">
        <f t="shared" si="62"/>
        <v>0</v>
      </c>
      <c r="AZ21" s="133">
        <f t="shared" si="62"/>
        <v>9.6778313897407742</v>
      </c>
      <c r="BA21" s="133">
        <f t="shared" si="62"/>
        <v>9.6778313897407742</v>
      </c>
      <c r="BB21" s="133">
        <f t="shared" si="62"/>
        <v>9.6778313897407742</v>
      </c>
      <c r="BC21" s="133">
        <f t="shared" si="62"/>
        <v>9.6778313897407742</v>
      </c>
      <c r="BD21" s="525">
        <f t="shared" si="62"/>
        <v>9.6778313897407742</v>
      </c>
      <c r="BE21" s="78">
        <f t="shared" si="62"/>
        <v>0</v>
      </c>
      <c r="BF21" s="51">
        <f>AZ21</f>
        <v>9.6778313897407742</v>
      </c>
    </row>
    <row r="22" spans="1:58" ht="15" thickBot="1">
      <c r="A22" s="250"/>
      <c r="B22" s="79">
        <v>0</v>
      </c>
      <c r="C22" s="80">
        <v>0.11615139669056956</v>
      </c>
      <c r="D22" s="80">
        <v>0.11615139669056956</v>
      </c>
      <c r="E22" s="80">
        <v>0.11615139669056956</v>
      </c>
      <c r="F22" s="80">
        <v>0.11615139669056956</v>
      </c>
      <c r="G22" s="81">
        <v>0.11615139669056956</v>
      </c>
      <c r="H22" s="68">
        <v>0</v>
      </c>
      <c r="I22" s="46"/>
      <c r="S22" s="556" t="s">
        <v>100</v>
      </c>
      <c r="AB22" s="320"/>
      <c r="AC22" s="250"/>
      <c r="AD22" s="79">
        <f>+IF(AD$8&lt;&gt;0,AD21/AD$8,0)</f>
        <v>0</v>
      </c>
      <c r="AE22" s="80">
        <f t="shared" ref="AE22:AJ22" si="68">+IF(AE$8&lt;&gt;0,AE21/AE$8,0)</f>
        <v>0</v>
      </c>
      <c r="AF22" s="80">
        <f t="shared" si="68"/>
        <v>0</v>
      </c>
      <c r="AG22" s="80">
        <f t="shared" si="68"/>
        <v>0</v>
      </c>
      <c r="AH22" s="80">
        <f t="shared" si="68"/>
        <v>0</v>
      </c>
      <c r="AI22" s="81">
        <f t="shared" si="68"/>
        <v>0</v>
      </c>
      <c r="AJ22" s="68">
        <f t="shared" si="68"/>
        <v>0</v>
      </c>
      <c r="AK22" s="46"/>
      <c r="AL22" s="46"/>
      <c r="AM22" s="556" t="s">
        <v>100</v>
      </c>
      <c r="AW22" s="556" t="s">
        <v>100</v>
      </c>
      <c r="AX22" s="250"/>
      <c r="AY22" s="79">
        <f>AD22</f>
        <v>0</v>
      </c>
      <c r="AZ22" s="80">
        <f t="shared" ref="AZ22" si="69">AE22</f>
        <v>0</v>
      </c>
      <c r="BA22" s="80">
        <f t="shared" ref="BA22" si="70">AF22</f>
        <v>0</v>
      </c>
      <c r="BB22" s="80">
        <f t="shared" ref="BB22" si="71">AG22</f>
        <v>0</v>
      </c>
      <c r="BC22" s="80">
        <f t="shared" ref="BC22" si="72">AH22</f>
        <v>0</v>
      </c>
      <c r="BD22" s="81">
        <f t="shared" ref="BD22" si="73">AI22</f>
        <v>0</v>
      </c>
      <c r="BE22" s="68">
        <f t="shared" ref="BE22" si="74">AJ22</f>
        <v>0</v>
      </c>
      <c r="BF22" s="46"/>
    </row>
    <row r="23" spans="1:58" ht="15" thickBot="1">
      <c r="A23" s="45"/>
      <c r="B23" s="46"/>
      <c r="C23" s="46"/>
      <c r="D23" s="46"/>
      <c r="E23" s="46"/>
      <c r="F23" s="46"/>
      <c r="G23" s="46"/>
      <c r="H23" s="46"/>
      <c r="I23" s="46"/>
      <c r="S23" s="556" t="s">
        <v>100</v>
      </c>
      <c r="AB23" s="320"/>
      <c r="AC23" s="45"/>
      <c r="AD23" s="46"/>
      <c r="AE23" s="46"/>
      <c r="AF23" s="46"/>
      <c r="AG23" s="46"/>
      <c r="AH23" s="46"/>
      <c r="AI23" s="46"/>
      <c r="AJ23" s="46"/>
      <c r="AK23" s="46"/>
      <c r="AL23" s="46"/>
      <c r="AM23" s="556" t="s">
        <v>100</v>
      </c>
      <c r="AW23" s="556" t="s">
        <v>100</v>
      </c>
      <c r="AX23" s="45"/>
      <c r="AY23" s="46"/>
      <c r="AZ23" s="46"/>
      <c r="BA23" s="46"/>
      <c r="BB23" s="46"/>
      <c r="BC23" s="46"/>
      <c r="BD23" s="46"/>
      <c r="BE23" s="46"/>
      <c r="BF23" s="46"/>
    </row>
    <row r="24" spans="1:58">
      <c r="A24" s="244" t="s">
        <v>146</v>
      </c>
      <c r="B24" s="10">
        <v>0</v>
      </c>
      <c r="C24" s="48">
        <v>275.01967350645185</v>
      </c>
      <c r="D24" s="48">
        <v>275.01967350645185</v>
      </c>
      <c r="E24" s="48">
        <v>275.01967350645185</v>
      </c>
      <c r="F24" s="48">
        <v>275.01967350645185</v>
      </c>
      <c r="G24" s="49">
        <v>275.01967350645185</v>
      </c>
      <c r="H24" s="82">
        <v>0</v>
      </c>
      <c r="I24" s="44">
        <v>275.01967350645185</v>
      </c>
      <c r="S24" s="556" t="s">
        <v>100</v>
      </c>
      <c r="AB24" s="320"/>
      <c r="AC24" s="244" t="s">
        <v>146</v>
      </c>
      <c r="AD24" s="10">
        <f t="shared" ref="AD24:AI24" si="75">+AD8-AD10-AD15-AD17-AD21-AD11</f>
        <v>0</v>
      </c>
      <c r="AE24" s="48">
        <f>+AE8-AE10-AE15-AE17-AE21-AE11</f>
        <v>-391.54700863325769</v>
      </c>
      <c r="AF24" s="48">
        <f t="shared" si="75"/>
        <v>-391.54700863325769</v>
      </c>
      <c r="AG24" s="48">
        <f t="shared" si="75"/>
        <v>-391.54700863325769</v>
      </c>
      <c r="AH24" s="48">
        <f t="shared" si="75"/>
        <v>-391.54700863325769</v>
      </c>
      <c r="AI24" s="49">
        <f t="shared" si="75"/>
        <v>-391.54700863325769</v>
      </c>
      <c r="AJ24" s="82">
        <f>+AJ8-AJ10-AJ15-AJ17-AJ21</f>
        <v>0</v>
      </c>
      <c r="AK24" s="44">
        <f>AE24</f>
        <v>-391.54700863325769</v>
      </c>
      <c r="AL24" s="44"/>
      <c r="AM24" s="556" t="s">
        <v>100</v>
      </c>
      <c r="AW24" s="556" t="s">
        <v>100</v>
      </c>
      <c r="AX24" s="244" t="s">
        <v>146</v>
      </c>
      <c r="AY24" s="10">
        <f t="shared" ref="AY24:BE24" si="76">AD24/$AV$7</f>
        <v>0</v>
      </c>
      <c r="AZ24" s="48">
        <f t="shared" si="76"/>
        <v>-48.943376079157211</v>
      </c>
      <c r="BA24" s="48">
        <f t="shared" si="76"/>
        <v>-48.943376079157211</v>
      </c>
      <c r="BB24" s="48">
        <f t="shared" si="76"/>
        <v>-48.943376079157211</v>
      </c>
      <c r="BC24" s="48">
        <f t="shared" si="76"/>
        <v>-48.943376079157211</v>
      </c>
      <c r="BD24" s="49">
        <f t="shared" si="76"/>
        <v>-48.943376079157211</v>
      </c>
      <c r="BE24" s="82">
        <f t="shared" si="76"/>
        <v>0</v>
      </c>
      <c r="BF24" s="44">
        <f>AZ24</f>
        <v>-48.943376079157211</v>
      </c>
    </row>
    <row r="25" spans="1:58" ht="15" thickBot="1">
      <c r="A25" s="245"/>
      <c r="B25" s="79">
        <v>0</v>
      </c>
      <c r="C25" s="80">
        <v>0.41259138939202017</v>
      </c>
      <c r="D25" s="80">
        <v>0.41259138939202017</v>
      </c>
      <c r="E25" s="80">
        <v>0.41259138939202017</v>
      </c>
      <c r="F25" s="80">
        <v>0.41259138939202017</v>
      </c>
      <c r="G25" s="81">
        <v>0.41259138939202017</v>
      </c>
      <c r="H25" s="83">
        <v>0</v>
      </c>
      <c r="I25" s="46"/>
      <c r="S25" s="556" t="s">
        <v>100</v>
      </c>
      <c r="AB25" s="320"/>
      <c r="AC25" s="245"/>
      <c r="AD25" s="79">
        <f>+IF(AD$8&lt;&gt;0,AD24/AD$8,0)</f>
        <v>0</v>
      </c>
      <c r="AE25" s="80">
        <f t="shared" ref="AE25:AJ25" si="77">+IF(AE$8&lt;&gt;0,AE24/AE$8,0)</f>
        <v>0</v>
      </c>
      <c r="AF25" s="80">
        <f t="shared" si="77"/>
        <v>0</v>
      </c>
      <c r="AG25" s="80">
        <f t="shared" si="77"/>
        <v>0</v>
      </c>
      <c r="AH25" s="80">
        <f t="shared" si="77"/>
        <v>0</v>
      </c>
      <c r="AI25" s="81">
        <f t="shared" si="77"/>
        <v>0</v>
      </c>
      <c r="AJ25" s="83">
        <f t="shared" si="77"/>
        <v>0</v>
      </c>
      <c r="AK25" s="46"/>
      <c r="AL25" s="46"/>
      <c r="AM25" s="556" t="s">
        <v>100</v>
      </c>
      <c r="AW25" s="556" t="s">
        <v>100</v>
      </c>
      <c r="AX25" s="245"/>
      <c r="AY25" s="79">
        <f>AD25</f>
        <v>0</v>
      </c>
      <c r="AZ25" s="80">
        <f t="shared" ref="AZ25" si="78">AE25</f>
        <v>0</v>
      </c>
      <c r="BA25" s="80">
        <f t="shared" ref="BA25" si="79">AF25</f>
        <v>0</v>
      </c>
      <c r="BB25" s="80">
        <f t="shared" ref="BB25" si="80">AG25</f>
        <v>0</v>
      </c>
      <c r="BC25" s="80">
        <f t="shared" ref="BC25" si="81">AH25</f>
        <v>0</v>
      </c>
      <c r="BD25" s="81">
        <f t="shared" ref="BD25" si="82">AI25</f>
        <v>0</v>
      </c>
      <c r="BE25" s="83">
        <f t="shared" ref="BE25" si="83">AJ25</f>
        <v>0</v>
      </c>
      <c r="BF25" s="46"/>
    </row>
    <row r="26" spans="1:58" ht="15" thickBot="1">
      <c r="A26" s="45"/>
      <c r="B26" s="46"/>
      <c r="C26" s="46"/>
      <c r="D26" s="46"/>
      <c r="E26" s="46"/>
      <c r="F26" s="46"/>
      <c r="G26" s="46"/>
      <c r="H26" s="46"/>
      <c r="I26" s="46"/>
      <c r="S26" s="556" t="s">
        <v>100</v>
      </c>
      <c r="AB26" s="320"/>
      <c r="AC26" s="45"/>
      <c r="AD26" s="46"/>
      <c r="AE26" s="46"/>
      <c r="AF26" s="46"/>
      <c r="AG26" s="46"/>
      <c r="AH26" s="46"/>
      <c r="AI26" s="46"/>
      <c r="AJ26" s="46"/>
      <c r="AK26" s="46"/>
      <c r="AL26" s="46"/>
      <c r="AM26" s="556" t="s">
        <v>100</v>
      </c>
      <c r="AW26" s="556" t="s">
        <v>100</v>
      </c>
      <c r="AX26" s="45"/>
      <c r="AY26" s="46"/>
      <c r="AZ26" s="46"/>
      <c r="BA26" s="46"/>
      <c r="BB26" s="46"/>
      <c r="BC26" s="46"/>
      <c r="BD26" s="46"/>
      <c r="BE26" s="46"/>
      <c r="BF26" s="46"/>
    </row>
    <row r="27" spans="1:58">
      <c r="A27" s="246" t="s">
        <v>147</v>
      </c>
      <c r="B27" s="48">
        <v>0</v>
      </c>
      <c r="C27" s="48">
        <v>99.341674619446295</v>
      </c>
      <c r="D27" s="48">
        <v>99.341674619446295</v>
      </c>
      <c r="E27" s="48">
        <v>99.341674619446295</v>
      </c>
      <c r="F27" s="48">
        <v>99.341674619446295</v>
      </c>
      <c r="G27" s="48">
        <v>99.341674619446295</v>
      </c>
      <c r="H27" s="50">
        <v>0</v>
      </c>
      <c r="I27" s="51">
        <v>99.341674619446295</v>
      </c>
      <c r="S27" s="556" t="s">
        <v>100</v>
      </c>
      <c r="AB27" s="320"/>
      <c r="AC27" s="539" t="s">
        <v>147</v>
      </c>
      <c r="AD27" s="540">
        <f>$Z$16*AD$2</f>
        <v>0</v>
      </c>
      <c r="AE27" s="540">
        <f t="shared" ref="AE27:AJ27" si="84">$Z$16*AE$2</f>
        <v>99.34167461944628</v>
      </c>
      <c r="AF27" s="540">
        <f t="shared" si="84"/>
        <v>99.34167461944628</v>
      </c>
      <c r="AG27" s="540">
        <f t="shared" si="84"/>
        <v>99.34167461944628</v>
      </c>
      <c r="AH27" s="540">
        <f t="shared" si="84"/>
        <v>99.34167461944628</v>
      </c>
      <c r="AI27" s="540">
        <f t="shared" si="84"/>
        <v>99.34167461944628</v>
      </c>
      <c r="AJ27" s="541">
        <f t="shared" si="84"/>
        <v>0</v>
      </c>
      <c r="AK27" s="51">
        <f>AE27</f>
        <v>99.34167461944628</v>
      </c>
      <c r="AL27" s="51"/>
      <c r="AM27" s="556" t="s">
        <v>100</v>
      </c>
      <c r="AW27" s="556" t="s">
        <v>100</v>
      </c>
      <c r="AX27" s="539" t="s">
        <v>147</v>
      </c>
      <c r="AY27" s="540">
        <f t="shared" ref="AY27:BE27" si="85">AD27/$AV$7</f>
        <v>0</v>
      </c>
      <c r="AZ27" s="540">
        <f t="shared" si="85"/>
        <v>12.417709327430785</v>
      </c>
      <c r="BA27" s="540">
        <f t="shared" si="85"/>
        <v>12.417709327430785</v>
      </c>
      <c r="BB27" s="540">
        <f t="shared" si="85"/>
        <v>12.417709327430785</v>
      </c>
      <c r="BC27" s="540">
        <f t="shared" si="85"/>
        <v>12.417709327430785</v>
      </c>
      <c r="BD27" s="540">
        <f t="shared" si="85"/>
        <v>12.417709327430785</v>
      </c>
      <c r="BE27" s="541">
        <f t="shared" si="85"/>
        <v>0</v>
      </c>
      <c r="BF27" s="51">
        <f>AZ27</f>
        <v>12.417709327430785</v>
      </c>
    </row>
    <row r="28" spans="1:58" ht="15" thickBot="1">
      <c r="A28" s="247"/>
      <c r="B28" s="79">
        <v>0</v>
      </c>
      <c r="C28" s="80">
        <v>0.14903486369969013</v>
      </c>
      <c r="D28" s="80">
        <v>0.14903486369969013</v>
      </c>
      <c r="E28" s="80">
        <v>0.14903486369969013</v>
      </c>
      <c r="F28" s="80">
        <v>0.14903486369969013</v>
      </c>
      <c r="G28" s="81">
        <v>0.14903486369969013</v>
      </c>
      <c r="H28" s="68">
        <v>0</v>
      </c>
      <c r="I28" s="46"/>
      <c r="S28" s="556" t="s">
        <v>100</v>
      </c>
      <c r="AB28" s="320"/>
      <c r="AC28" s="247"/>
      <c r="AD28" s="79">
        <f>+IF(AD$8&lt;&gt;0,AD27/AD$8,0)</f>
        <v>0</v>
      </c>
      <c r="AE28" s="80">
        <f t="shared" ref="AE28:AJ28" si="86">+IF(AE$8&lt;&gt;0,AE27/AE$8,0)</f>
        <v>0</v>
      </c>
      <c r="AF28" s="80">
        <f t="shared" si="86"/>
        <v>0</v>
      </c>
      <c r="AG28" s="80">
        <f t="shared" si="86"/>
        <v>0</v>
      </c>
      <c r="AH28" s="80">
        <f t="shared" si="86"/>
        <v>0</v>
      </c>
      <c r="AI28" s="81">
        <f t="shared" si="86"/>
        <v>0</v>
      </c>
      <c r="AJ28" s="68">
        <f t="shared" si="86"/>
        <v>0</v>
      </c>
      <c r="AK28" s="46"/>
      <c r="AL28" s="46"/>
      <c r="AM28" s="556" t="s">
        <v>100</v>
      </c>
      <c r="AW28" s="556" t="s">
        <v>100</v>
      </c>
      <c r="AX28" s="247"/>
      <c r="AY28" s="79">
        <f>AD28</f>
        <v>0</v>
      </c>
      <c r="AZ28" s="80">
        <f t="shared" ref="AZ28" si="87">AE28</f>
        <v>0</v>
      </c>
      <c r="BA28" s="80">
        <f t="shared" ref="BA28" si="88">AF28</f>
        <v>0</v>
      </c>
      <c r="BB28" s="80">
        <f t="shared" ref="BB28" si="89">AG28</f>
        <v>0</v>
      </c>
      <c r="BC28" s="80">
        <f t="shared" ref="BC28" si="90">AH28</f>
        <v>0</v>
      </c>
      <c r="BD28" s="81">
        <f t="shared" ref="BD28" si="91">AI28</f>
        <v>0</v>
      </c>
      <c r="BE28" s="68">
        <f t="shared" ref="BE28" si="92">AJ28</f>
        <v>0</v>
      </c>
      <c r="BF28" s="46"/>
    </row>
    <row r="29" spans="1:58">
      <c r="A29" s="246" t="s">
        <v>148</v>
      </c>
      <c r="B29" s="10">
        <v>0</v>
      </c>
      <c r="C29" s="64">
        <v>65.565505248834555</v>
      </c>
      <c r="D29" s="64">
        <v>65.565505248834555</v>
      </c>
      <c r="E29" s="64">
        <v>65.565505248834555</v>
      </c>
      <c r="F29" s="64">
        <v>65.565505248834555</v>
      </c>
      <c r="G29" s="64">
        <v>65.565505248834555</v>
      </c>
      <c r="H29" s="50">
        <v>0</v>
      </c>
      <c r="I29" s="51">
        <v>65.565505248834555</v>
      </c>
      <c r="S29" s="556" t="s">
        <v>100</v>
      </c>
      <c r="AB29" s="320"/>
      <c r="AC29" s="539" t="s">
        <v>148</v>
      </c>
      <c r="AD29" s="542">
        <f>$Z$17*AD$2</f>
        <v>0</v>
      </c>
      <c r="AE29" s="542">
        <f t="shared" ref="AE29:AJ29" si="93">$Z$17*AE$2</f>
        <v>65.565505248834526</v>
      </c>
      <c r="AF29" s="542">
        <f t="shared" si="93"/>
        <v>65.565505248834526</v>
      </c>
      <c r="AG29" s="542">
        <f t="shared" si="93"/>
        <v>65.565505248834526</v>
      </c>
      <c r="AH29" s="542">
        <f t="shared" si="93"/>
        <v>65.565505248834526</v>
      </c>
      <c r="AI29" s="542">
        <f t="shared" si="93"/>
        <v>65.565505248834526</v>
      </c>
      <c r="AJ29" s="541">
        <f t="shared" si="93"/>
        <v>0</v>
      </c>
      <c r="AK29" s="51">
        <f>AE29</f>
        <v>65.565505248834526</v>
      </c>
      <c r="AL29" s="51"/>
      <c r="AM29" s="556" t="s">
        <v>100</v>
      </c>
      <c r="AW29" s="556" t="s">
        <v>100</v>
      </c>
      <c r="AX29" s="539" t="s">
        <v>148</v>
      </c>
      <c r="AY29" s="542">
        <v>2.9077800429363563E-2</v>
      </c>
      <c r="AZ29" s="542">
        <v>2.9077800429363563E-2</v>
      </c>
      <c r="BA29" s="542">
        <v>2.9077800429363563E-2</v>
      </c>
      <c r="BB29" s="542">
        <v>2.9077800429363563E-2</v>
      </c>
      <c r="BC29" s="542">
        <v>2.9077800429363563E-2</v>
      </c>
      <c r="BD29" s="542">
        <v>2.9077800429363563E-2</v>
      </c>
      <c r="BE29" s="541">
        <v>2.9077800429363563E-2</v>
      </c>
      <c r="BF29" s="51">
        <f>AZ29</f>
        <v>2.9077800429363563E-2</v>
      </c>
    </row>
    <row r="30" spans="1:58" ht="15" thickBot="1">
      <c r="A30" s="247"/>
      <c r="B30" s="79">
        <v>0</v>
      </c>
      <c r="C30" s="80">
        <v>9.8363010041795498E-2</v>
      </c>
      <c r="D30" s="80">
        <v>9.8363010041795498E-2</v>
      </c>
      <c r="E30" s="80">
        <v>9.8363010041795498E-2</v>
      </c>
      <c r="F30" s="80">
        <v>9.8363010041795498E-2</v>
      </c>
      <c r="G30" s="81">
        <v>9.8363010041795498E-2</v>
      </c>
      <c r="H30" s="68">
        <v>0</v>
      </c>
      <c r="I30" s="46"/>
      <c r="S30" s="556" t="s">
        <v>100</v>
      </c>
      <c r="AB30" s="320"/>
      <c r="AC30" s="247"/>
      <c r="AD30" s="79">
        <f>+IF(AD$8&lt;&gt;0,AD29/AD$8,0)</f>
        <v>0</v>
      </c>
      <c r="AE30" s="80">
        <f t="shared" ref="AE30:AJ30" si="94">+IF(AE$8&lt;&gt;0,AE29/AE$8,0)</f>
        <v>0</v>
      </c>
      <c r="AF30" s="80">
        <f t="shared" si="94"/>
        <v>0</v>
      </c>
      <c r="AG30" s="80">
        <f t="shared" si="94"/>
        <v>0</v>
      </c>
      <c r="AH30" s="80">
        <f t="shared" si="94"/>
        <v>0</v>
      </c>
      <c r="AI30" s="81">
        <f t="shared" si="94"/>
        <v>0</v>
      </c>
      <c r="AJ30" s="68">
        <f t="shared" si="94"/>
        <v>0</v>
      </c>
      <c r="AK30" s="46"/>
      <c r="AL30" s="46"/>
      <c r="AM30" s="556" t="s">
        <v>100</v>
      </c>
      <c r="AW30" s="556" t="s">
        <v>100</v>
      </c>
      <c r="AX30" s="247"/>
      <c r="AY30" s="79">
        <f>AD30</f>
        <v>0</v>
      </c>
      <c r="AZ30" s="80">
        <f t="shared" ref="AZ30" si="95">AE30</f>
        <v>0</v>
      </c>
      <c r="BA30" s="80">
        <f t="shared" ref="BA30" si="96">AF30</f>
        <v>0</v>
      </c>
      <c r="BB30" s="80">
        <f t="shared" ref="BB30" si="97">AG30</f>
        <v>0</v>
      </c>
      <c r="BC30" s="80">
        <f t="shared" ref="BC30" si="98">AH30</f>
        <v>0</v>
      </c>
      <c r="BD30" s="81">
        <f t="shared" ref="BD30" si="99">AI30</f>
        <v>0</v>
      </c>
      <c r="BE30" s="68">
        <f t="shared" ref="BE30" si="100">AJ30</f>
        <v>0</v>
      </c>
      <c r="BF30" s="46"/>
    </row>
    <row r="31" spans="1:58" ht="6.6" customHeight="1" thickBot="1">
      <c r="A31" s="45"/>
      <c r="B31" s="46"/>
      <c r="C31" s="46"/>
      <c r="D31" s="46"/>
      <c r="E31" s="46"/>
      <c r="F31" s="46"/>
      <c r="G31" s="46"/>
      <c r="H31" s="46"/>
      <c r="I31" s="46"/>
      <c r="S31" s="556" t="s">
        <v>100</v>
      </c>
      <c r="AB31" s="320"/>
      <c r="AC31" s="45"/>
      <c r="AD31" s="46"/>
      <c r="AE31" s="46"/>
      <c r="AF31" s="46"/>
      <c r="AG31" s="46"/>
      <c r="AH31" s="46"/>
      <c r="AI31" s="46"/>
      <c r="AJ31" s="46"/>
      <c r="AK31" s="46"/>
      <c r="AL31" s="46"/>
      <c r="AM31" s="556" t="s">
        <v>100</v>
      </c>
      <c r="AW31" s="556" t="s">
        <v>100</v>
      </c>
      <c r="AX31" s="45"/>
      <c r="AY31" s="46"/>
      <c r="AZ31" s="46"/>
      <c r="BA31" s="46"/>
      <c r="BB31" s="46"/>
      <c r="BC31" s="46"/>
      <c r="BD31" s="46"/>
      <c r="BE31" s="46"/>
      <c r="BF31" s="46"/>
    </row>
    <row r="32" spans="1:58">
      <c r="A32" s="244" t="s">
        <v>149</v>
      </c>
      <c r="B32" s="56">
        <v>0</v>
      </c>
      <c r="C32" s="57">
        <v>110.11249363817102</v>
      </c>
      <c r="D32" s="57">
        <v>110.11249363817102</v>
      </c>
      <c r="E32" s="57">
        <v>110.11249363817102</v>
      </c>
      <c r="F32" s="57">
        <v>110.11249363817102</v>
      </c>
      <c r="G32" s="58">
        <v>110.11249363817102</v>
      </c>
      <c r="H32" s="82">
        <v>0</v>
      </c>
      <c r="I32" s="44">
        <v>110.11249363817102</v>
      </c>
      <c r="N32" s="32"/>
      <c r="S32" s="556" t="s">
        <v>100</v>
      </c>
      <c r="AB32" s="320"/>
      <c r="AC32" s="244" t="s">
        <v>149</v>
      </c>
      <c r="AD32" s="56">
        <f>+AD24-AD27-AD29</f>
        <v>0</v>
      </c>
      <c r="AE32" s="57">
        <f>+AE24-AE27-AE29</f>
        <v>-556.45418850153851</v>
      </c>
      <c r="AF32" s="57">
        <f t="shared" ref="AF32:AJ32" si="101">+AF24-AF27-AF29</f>
        <v>-556.45418850153851</v>
      </c>
      <c r="AG32" s="57">
        <f t="shared" si="101"/>
        <v>-556.45418850153851</v>
      </c>
      <c r="AH32" s="57">
        <f t="shared" si="101"/>
        <v>-556.45418850153851</v>
      </c>
      <c r="AI32" s="58">
        <f t="shared" si="101"/>
        <v>-556.45418850153851</v>
      </c>
      <c r="AJ32" s="82">
        <f t="shared" si="101"/>
        <v>0</v>
      </c>
      <c r="AK32" s="44">
        <f>AE32</f>
        <v>-556.45418850153851</v>
      </c>
      <c r="AL32" s="44"/>
      <c r="AM32" s="556" t="s">
        <v>100</v>
      </c>
      <c r="AW32" s="556" t="s">
        <v>100</v>
      </c>
      <c r="AX32" s="244" t="s">
        <v>149</v>
      </c>
      <c r="AY32" s="56">
        <f t="shared" ref="AY32:BE32" si="102">AD32/$AV$7</f>
        <v>0</v>
      </c>
      <c r="AZ32" s="57">
        <f t="shared" si="102"/>
        <v>-69.556773562692314</v>
      </c>
      <c r="BA32" s="57">
        <f t="shared" si="102"/>
        <v>-69.556773562692314</v>
      </c>
      <c r="BB32" s="57">
        <f t="shared" si="102"/>
        <v>-69.556773562692314</v>
      </c>
      <c r="BC32" s="57">
        <f t="shared" si="102"/>
        <v>-69.556773562692314</v>
      </c>
      <c r="BD32" s="58">
        <f t="shared" si="102"/>
        <v>-69.556773562692314</v>
      </c>
      <c r="BE32" s="82">
        <f t="shared" si="102"/>
        <v>0</v>
      </c>
      <c r="BF32" s="44">
        <f>AZ32</f>
        <v>-69.556773562692314</v>
      </c>
    </row>
    <row r="33" spans="1:58" ht="15" thickBot="1">
      <c r="A33" s="245"/>
      <c r="B33" s="60">
        <v>0</v>
      </c>
      <c r="C33" s="61">
        <v>0.16519351565053458</v>
      </c>
      <c r="D33" s="61">
        <v>0.16519351565053458</v>
      </c>
      <c r="E33" s="61">
        <v>0.16519351565053458</v>
      </c>
      <c r="F33" s="61">
        <v>0.16519351565053458</v>
      </c>
      <c r="G33" s="62">
        <v>0.16519351565053458</v>
      </c>
      <c r="H33" s="83">
        <v>0</v>
      </c>
      <c r="I33" s="46"/>
      <c r="S33" s="556" t="s">
        <v>100</v>
      </c>
      <c r="AB33" s="320"/>
      <c r="AC33" s="245"/>
      <c r="AD33" s="60">
        <f>+IF(AD$8&lt;&gt;0,AD32/AD$8,0)</f>
        <v>0</v>
      </c>
      <c r="AE33" s="61">
        <f t="shared" ref="AE33:AJ33" si="103">+IF(AE$8&lt;&gt;0,AE32/AE$8,0)</f>
        <v>0</v>
      </c>
      <c r="AF33" s="61">
        <f t="shared" si="103"/>
        <v>0</v>
      </c>
      <c r="AG33" s="61">
        <f t="shared" si="103"/>
        <v>0</v>
      </c>
      <c r="AH33" s="61">
        <f t="shared" si="103"/>
        <v>0</v>
      </c>
      <c r="AI33" s="62">
        <f t="shared" si="103"/>
        <v>0</v>
      </c>
      <c r="AJ33" s="83">
        <f t="shared" si="103"/>
        <v>0</v>
      </c>
      <c r="AK33" s="46"/>
      <c r="AL33" s="46"/>
      <c r="AM33" s="556" t="s">
        <v>100</v>
      </c>
      <c r="AW33" s="556" t="s">
        <v>100</v>
      </c>
      <c r="AX33" s="245"/>
      <c r="AY33" s="60">
        <f>AD33</f>
        <v>0</v>
      </c>
      <c r="AZ33" s="61">
        <f t="shared" ref="AZ33" si="104">AE33</f>
        <v>0</v>
      </c>
      <c r="BA33" s="61">
        <f t="shared" ref="BA33" si="105">AF33</f>
        <v>0</v>
      </c>
      <c r="BB33" s="61">
        <f t="shared" ref="BB33" si="106">AG33</f>
        <v>0</v>
      </c>
      <c r="BC33" s="61">
        <f t="shared" ref="BC33" si="107">AH33</f>
        <v>0</v>
      </c>
      <c r="BD33" s="62">
        <f t="shared" ref="BD33" si="108">AI33</f>
        <v>0</v>
      </c>
      <c r="BE33" s="83">
        <f t="shared" ref="BE33" si="109">AJ33</f>
        <v>0</v>
      </c>
      <c r="BF33" s="46"/>
    </row>
    <row r="34" spans="1:58" ht="12" customHeight="1" thickBot="1">
      <c r="A34" s="45"/>
      <c r="B34" s="46"/>
      <c r="C34" s="46"/>
      <c r="D34" s="46"/>
      <c r="E34" s="46"/>
      <c r="F34" s="46"/>
      <c r="G34" s="46"/>
      <c r="H34" s="46"/>
      <c r="I34" s="46"/>
      <c r="S34" s="556" t="s">
        <v>100</v>
      </c>
      <c r="AB34" s="320"/>
      <c r="AC34" s="45"/>
      <c r="AD34" s="46"/>
      <c r="AE34" s="46"/>
      <c r="AF34" s="46"/>
      <c r="AG34" s="46"/>
      <c r="AH34" s="46"/>
      <c r="AI34" s="46"/>
      <c r="AJ34" s="46"/>
      <c r="AK34" s="46"/>
      <c r="AL34" s="46"/>
      <c r="AM34" s="556" t="s">
        <v>100</v>
      </c>
      <c r="AW34" s="556" t="s">
        <v>100</v>
      </c>
      <c r="AX34" s="45"/>
      <c r="AY34" s="46"/>
      <c r="AZ34" s="46"/>
      <c r="BA34" s="46"/>
      <c r="BB34" s="46"/>
      <c r="BC34" s="46"/>
      <c r="BD34" s="46"/>
      <c r="BE34" s="46"/>
      <c r="BF34" s="46"/>
    </row>
    <row r="35" spans="1:58">
      <c r="A35" s="47" t="s">
        <v>153</v>
      </c>
      <c r="B35" s="64">
        <v>0</v>
      </c>
      <c r="C35" s="48">
        <v>15.985763507403666</v>
      </c>
      <c r="D35" s="48">
        <v>15.985763507403666</v>
      </c>
      <c r="E35" s="48">
        <v>15.985763507403666</v>
      </c>
      <c r="F35" s="48">
        <v>15.985763507403666</v>
      </c>
      <c r="G35" s="49">
        <v>15.985763507403666</v>
      </c>
      <c r="H35" s="50">
        <v>0</v>
      </c>
      <c r="I35" s="51">
        <v>15.985763507403666</v>
      </c>
      <c r="S35" s="556" t="s">
        <v>100</v>
      </c>
      <c r="AB35" s="320"/>
      <c r="AC35" s="47" t="s">
        <v>153</v>
      </c>
      <c r="AD35" s="64">
        <f>+AD66</f>
        <v>0</v>
      </c>
      <c r="AE35" s="48">
        <f t="shared" ref="AE35:AJ35" si="110">+AE66</f>
        <v>15.985763507403668</v>
      </c>
      <c r="AF35" s="48">
        <f t="shared" si="110"/>
        <v>15.985763507403668</v>
      </c>
      <c r="AG35" s="48">
        <f t="shared" si="110"/>
        <v>15.985763507403668</v>
      </c>
      <c r="AH35" s="48">
        <f t="shared" si="110"/>
        <v>15.985763507403668</v>
      </c>
      <c r="AI35" s="49">
        <f t="shared" si="110"/>
        <v>15.985763507403668</v>
      </c>
      <c r="AJ35" s="50">
        <f t="shared" si="110"/>
        <v>0</v>
      </c>
      <c r="AK35" s="51">
        <f>AE35</f>
        <v>15.985763507403668</v>
      </c>
      <c r="AL35" s="51"/>
      <c r="AM35" s="556" t="s">
        <v>100</v>
      </c>
      <c r="AW35" s="556" t="s">
        <v>100</v>
      </c>
      <c r="AX35" s="47" t="s">
        <v>153</v>
      </c>
      <c r="AY35" s="64">
        <f t="shared" ref="AY35:BE36" si="111">AD35/$AV$7</f>
        <v>0</v>
      </c>
      <c r="AZ35" s="48">
        <f t="shared" si="111"/>
        <v>1.9982204384254585</v>
      </c>
      <c r="BA35" s="48">
        <f t="shared" si="111"/>
        <v>1.9982204384254585</v>
      </c>
      <c r="BB35" s="48">
        <f t="shared" si="111"/>
        <v>1.9982204384254585</v>
      </c>
      <c r="BC35" s="48">
        <f t="shared" si="111"/>
        <v>1.9982204384254585</v>
      </c>
      <c r="BD35" s="49">
        <f t="shared" si="111"/>
        <v>1.9982204384254585</v>
      </c>
      <c r="BE35" s="50">
        <f t="shared" si="111"/>
        <v>0</v>
      </c>
      <c r="BF35" s="51">
        <f>AZ35</f>
        <v>1.9982204384254585</v>
      </c>
    </row>
    <row r="36" spans="1:58" ht="15" thickBot="1">
      <c r="A36" s="70" t="s">
        <v>154</v>
      </c>
      <c r="B36" s="84">
        <v>0</v>
      </c>
      <c r="C36" s="72">
        <v>0.1</v>
      </c>
      <c r="D36" s="72">
        <v>15.170730634468127</v>
      </c>
      <c r="E36" s="72">
        <v>9.9065372153941595</v>
      </c>
      <c r="F36" s="72">
        <v>4.3659736418188109</v>
      </c>
      <c r="G36" s="73">
        <v>-1.4654695193692449</v>
      </c>
      <c r="H36" s="74">
        <v>-7.6030634465196734</v>
      </c>
      <c r="I36" s="51">
        <v>0.1</v>
      </c>
      <c r="S36" s="556" t="s">
        <v>100</v>
      </c>
      <c r="AB36" s="320"/>
      <c r="AC36" s="70" t="s">
        <v>154</v>
      </c>
      <c r="AD36" s="84">
        <f>-AD51</f>
        <v>0</v>
      </c>
      <c r="AE36" s="72" t="e">
        <f>-AE51</f>
        <v>#DIV/0!</v>
      </c>
      <c r="AF36" s="72" t="e">
        <f t="shared" ref="AF36:AJ36" si="112">-AF51</f>
        <v>#DIV/0!</v>
      </c>
      <c r="AG36" s="72" t="e">
        <f t="shared" si="112"/>
        <v>#DIV/0!</v>
      </c>
      <c r="AH36" s="72" t="e">
        <f t="shared" si="112"/>
        <v>#DIV/0!</v>
      </c>
      <c r="AI36" s="73" t="e">
        <f t="shared" si="112"/>
        <v>#DIV/0!</v>
      </c>
      <c r="AJ36" s="74" t="e">
        <f t="shared" si="112"/>
        <v>#DIV/0!</v>
      </c>
      <c r="AK36" s="51" t="e">
        <f>AE36</f>
        <v>#DIV/0!</v>
      </c>
      <c r="AL36" s="51"/>
      <c r="AM36" s="556" t="s">
        <v>100</v>
      </c>
      <c r="AW36" s="556" t="s">
        <v>100</v>
      </c>
      <c r="AX36" s="70" t="s">
        <v>154</v>
      </c>
      <c r="AY36" s="84">
        <f t="shared" si="111"/>
        <v>0</v>
      </c>
      <c r="AZ36" s="72" t="e">
        <f t="shared" si="111"/>
        <v>#DIV/0!</v>
      </c>
      <c r="BA36" s="72" t="e">
        <f t="shared" si="111"/>
        <v>#DIV/0!</v>
      </c>
      <c r="BB36" s="72" t="e">
        <f t="shared" si="111"/>
        <v>#DIV/0!</v>
      </c>
      <c r="BC36" s="72" t="e">
        <f t="shared" si="111"/>
        <v>#DIV/0!</v>
      </c>
      <c r="BD36" s="73" t="e">
        <f t="shared" si="111"/>
        <v>#DIV/0!</v>
      </c>
      <c r="BE36" s="74" t="e">
        <f t="shared" si="111"/>
        <v>#DIV/0!</v>
      </c>
      <c r="BF36" s="51" t="e">
        <f>AZ36</f>
        <v>#DIV/0!</v>
      </c>
    </row>
    <row r="37" spans="1:58" ht="15" thickBot="1">
      <c r="A37" s="45"/>
      <c r="B37" s="46"/>
      <c r="C37" s="46"/>
      <c r="D37" s="46"/>
      <c r="E37" s="46"/>
      <c r="F37" s="46"/>
      <c r="G37" s="46"/>
      <c r="H37" s="46"/>
      <c r="I37" s="46"/>
      <c r="K37" t="s">
        <v>155</v>
      </c>
      <c r="L37" s="512"/>
      <c r="M37" s="497">
        <v>1.4379586253286094</v>
      </c>
      <c r="S37" s="556" t="s">
        <v>100</v>
      </c>
      <c r="W37" s="6" t="s">
        <v>156</v>
      </c>
      <c r="X37" s="111">
        <f>M37</f>
        <v>1.4379586253286094</v>
      </c>
      <c r="AB37" s="320"/>
      <c r="AC37" s="45"/>
      <c r="AD37" s="46"/>
      <c r="AE37" s="46"/>
      <c r="AF37" s="46"/>
      <c r="AG37" s="46"/>
      <c r="AH37" s="46"/>
      <c r="AI37" s="46"/>
      <c r="AJ37" s="46"/>
      <c r="AK37" s="46"/>
      <c r="AL37" s="46"/>
      <c r="AM37" s="556" t="s">
        <v>100</v>
      </c>
      <c r="AW37" s="556" t="s">
        <v>100</v>
      </c>
      <c r="AX37" s="45"/>
      <c r="AY37" s="46"/>
      <c r="AZ37" s="46"/>
      <c r="BA37" s="46"/>
      <c r="BB37" s="46"/>
      <c r="BC37" s="46"/>
      <c r="BD37" s="46"/>
      <c r="BE37" s="46"/>
      <c r="BF37" s="46"/>
    </row>
    <row r="38" spans="1:58">
      <c r="A38" s="244" t="s">
        <v>157</v>
      </c>
      <c r="B38" s="56">
        <v>0</v>
      </c>
      <c r="C38" s="57">
        <v>94.026730130767362</v>
      </c>
      <c r="D38" s="57">
        <v>78.955999496299228</v>
      </c>
      <c r="E38" s="57">
        <v>84.22019291537319</v>
      </c>
      <c r="F38" s="57">
        <v>89.760756488948545</v>
      </c>
      <c r="G38" s="58">
        <v>95.592199650136607</v>
      </c>
      <c r="H38" s="82">
        <v>7.6030634465196734</v>
      </c>
      <c r="I38" s="44">
        <v>94.026730130767362</v>
      </c>
      <c r="S38" s="556" t="s">
        <v>100</v>
      </c>
      <c r="AB38" s="320"/>
      <c r="AC38" s="244" t="s">
        <v>158</v>
      </c>
      <c r="AD38" s="56">
        <f t="shared" ref="AD38:AJ38" si="113">+AD32-AD35-AD36</f>
        <v>0</v>
      </c>
      <c r="AE38" s="57" t="e">
        <f>+AE32-AE35-AE36</f>
        <v>#DIV/0!</v>
      </c>
      <c r="AF38" s="57" t="e">
        <f t="shared" si="113"/>
        <v>#DIV/0!</v>
      </c>
      <c r="AG38" s="57" t="e">
        <f t="shared" si="113"/>
        <v>#DIV/0!</v>
      </c>
      <c r="AH38" s="57" t="e">
        <f t="shared" si="113"/>
        <v>#DIV/0!</v>
      </c>
      <c r="AI38" s="58" t="e">
        <f t="shared" si="113"/>
        <v>#DIV/0!</v>
      </c>
      <c r="AJ38" s="82" t="e">
        <f t="shared" si="113"/>
        <v>#DIV/0!</v>
      </c>
      <c r="AK38" s="44" t="e">
        <f>AE38</f>
        <v>#DIV/0!</v>
      </c>
      <c r="AL38" s="44"/>
      <c r="AM38" s="556" t="s">
        <v>100</v>
      </c>
      <c r="AW38" s="556" t="s">
        <v>100</v>
      </c>
      <c r="AX38" s="244" t="s">
        <v>158</v>
      </c>
      <c r="AY38" s="56">
        <f t="shared" ref="AY38:BE38" si="114">AD38/$AV$7</f>
        <v>0</v>
      </c>
      <c r="AZ38" s="57" t="e">
        <f t="shared" si="114"/>
        <v>#DIV/0!</v>
      </c>
      <c r="BA38" s="57" t="e">
        <f t="shared" si="114"/>
        <v>#DIV/0!</v>
      </c>
      <c r="BB38" s="57" t="e">
        <f t="shared" si="114"/>
        <v>#DIV/0!</v>
      </c>
      <c r="BC38" s="57" t="e">
        <f t="shared" si="114"/>
        <v>#DIV/0!</v>
      </c>
      <c r="BD38" s="58" t="e">
        <f t="shared" si="114"/>
        <v>#DIV/0!</v>
      </c>
      <c r="BE38" s="82" t="e">
        <f t="shared" si="114"/>
        <v>#DIV/0!</v>
      </c>
      <c r="BF38" s="44" t="e">
        <f>AZ38</f>
        <v>#DIV/0!</v>
      </c>
    </row>
    <row r="39" spans="1:58" ht="15" thickBot="1">
      <c r="A39" s="245"/>
      <c r="B39" s="60">
        <v>0</v>
      </c>
      <c r="C39" s="61">
        <v>0.14106125110984735</v>
      </c>
      <c r="D39" s="61">
        <v>0.11845176425987398</v>
      </c>
      <c r="E39" s="61">
        <v>0.12634923882637294</v>
      </c>
      <c r="F39" s="61">
        <v>0.13466133080761314</v>
      </c>
      <c r="G39" s="62">
        <v>0.14340980761786845</v>
      </c>
      <c r="H39" s="83">
        <v>0</v>
      </c>
      <c r="I39" s="46"/>
      <c r="S39" s="556" t="s">
        <v>100</v>
      </c>
      <c r="T39" s="320"/>
      <c r="U39" s="320"/>
      <c r="V39" s="320"/>
      <c r="W39" s="320"/>
      <c r="X39" s="320"/>
      <c r="Y39" s="320"/>
      <c r="Z39" s="320"/>
      <c r="AA39" s="320"/>
      <c r="AB39" s="320"/>
      <c r="AC39" s="245"/>
      <c r="AD39" s="60">
        <f>+IF(AD$8&lt;&gt;0,AD38/AD$8,0)</f>
        <v>0</v>
      </c>
      <c r="AE39" s="61">
        <f t="shared" ref="AE39:AJ39" si="115">+IF(AE$8&lt;&gt;0,AE38/AE$8,0)</f>
        <v>0</v>
      </c>
      <c r="AF39" s="61">
        <f t="shared" si="115"/>
        <v>0</v>
      </c>
      <c r="AG39" s="61">
        <f t="shared" si="115"/>
        <v>0</v>
      </c>
      <c r="AH39" s="61">
        <f t="shared" si="115"/>
        <v>0</v>
      </c>
      <c r="AI39" s="62">
        <f t="shared" si="115"/>
        <v>0</v>
      </c>
      <c r="AJ39" s="83">
        <f t="shared" si="115"/>
        <v>0</v>
      </c>
      <c r="AK39" s="46"/>
      <c r="AL39" s="46"/>
      <c r="AM39" s="556" t="s">
        <v>100</v>
      </c>
      <c r="AW39" s="556" t="s">
        <v>100</v>
      </c>
      <c r="AX39" s="245"/>
      <c r="AY39" s="60">
        <f>AD39</f>
        <v>0</v>
      </c>
      <c r="AZ39" s="61">
        <f t="shared" ref="AZ39" si="116">AE39</f>
        <v>0</v>
      </c>
      <c r="BA39" s="61">
        <f t="shared" ref="BA39" si="117">AF39</f>
        <v>0</v>
      </c>
      <c r="BB39" s="61">
        <f t="shared" ref="BB39" si="118">AG39</f>
        <v>0</v>
      </c>
      <c r="BC39" s="61">
        <f t="shared" ref="BC39" si="119">AH39</f>
        <v>0</v>
      </c>
      <c r="BD39" s="62">
        <f t="shared" ref="BD39" si="120">AI39</f>
        <v>0</v>
      </c>
      <c r="BE39" s="83">
        <f t="shared" ref="BE39" si="121">AJ39</f>
        <v>0</v>
      </c>
      <c r="BF39" s="46"/>
    </row>
    <row r="40" spans="1:58" ht="15.95" thickBot="1">
      <c r="A40" s="45"/>
      <c r="B40" s="46"/>
      <c r="C40" s="46"/>
      <c r="D40" s="46"/>
      <c r="E40" s="46"/>
      <c r="F40" s="46"/>
      <c r="G40" s="46"/>
      <c r="H40" s="46"/>
      <c r="I40" s="46"/>
      <c r="K40" t="s">
        <v>159</v>
      </c>
      <c r="O40" s="498">
        <v>500</v>
      </c>
      <c r="P40" s="46" t="s">
        <v>34</v>
      </c>
      <c r="S40" s="556" t="s">
        <v>100</v>
      </c>
      <c r="T40" s="474" t="s">
        <v>160</v>
      </c>
      <c r="AA40" s="513" t="s">
        <v>161</v>
      </c>
      <c r="AB40" s="320"/>
      <c r="AC40" s="45"/>
      <c r="AD40" s="46"/>
      <c r="AE40" s="46"/>
      <c r="AF40" s="46"/>
      <c r="AG40" s="46"/>
      <c r="AH40" s="46"/>
      <c r="AI40" s="46"/>
      <c r="AJ40" s="46"/>
      <c r="AK40" s="46"/>
      <c r="AL40" s="46"/>
      <c r="AM40" s="556" t="s">
        <v>100</v>
      </c>
      <c r="AW40" s="556" t="s">
        <v>100</v>
      </c>
      <c r="AX40" s="45"/>
      <c r="AY40" s="46"/>
      <c r="AZ40" s="46"/>
      <c r="BA40" s="46"/>
      <c r="BB40" s="46"/>
      <c r="BC40" s="46"/>
      <c r="BD40" s="46"/>
      <c r="BE40" s="46"/>
      <c r="BF40" s="46"/>
    </row>
    <row r="41" spans="1:58" ht="15" thickBot="1">
      <c r="A41" s="1" t="s">
        <v>162</v>
      </c>
      <c r="B41" s="85">
        <v>0</v>
      </c>
      <c r="C41" s="86">
        <v>23.50668253269184</v>
      </c>
      <c r="D41" s="86">
        <v>19.738999874074807</v>
      </c>
      <c r="E41" s="86">
        <v>21.055048228843297</v>
      </c>
      <c r="F41" s="86">
        <v>22.440189122237136</v>
      </c>
      <c r="G41" s="87">
        <v>23.898049912534152</v>
      </c>
      <c r="H41" s="88">
        <v>1.9007658616299183</v>
      </c>
      <c r="I41" s="51">
        <v>23.50668253269184</v>
      </c>
      <c r="N41" s="89" t="s">
        <v>163</v>
      </c>
      <c r="O41" s="89" t="s">
        <v>164</v>
      </c>
      <c r="P41" s="89" t="s">
        <v>163</v>
      </c>
      <c r="Q41" s="89" t="s">
        <v>164</v>
      </c>
      <c r="S41" s="556" t="s">
        <v>100</v>
      </c>
      <c r="X41" s="6" t="s">
        <v>165</v>
      </c>
      <c r="Y41" s="357"/>
      <c r="Z41" s="358" t="s">
        <v>166</v>
      </c>
      <c r="AB41" s="320"/>
      <c r="AC41" s="1" t="s">
        <v>162</v>
      </c>
      <c r="AD41" s="86" t="e">
        <f t="shared" ref="AD41:AJ41" si="122">B41/B$38*AD$38</f>
        <v>#DIV/0!</v>
      </c>
      <c r="AE41" s="86" t="e">
        <f t="shared" si="122"/>
        <v>#DIV/0!</v>
      </c>
      <c r="AF41" s="86" t="e">
        <f t="shared" si="122"/>
        <v>#DIV/0!</v>
      </c>
      <c r="AG41" s="86" t="e">
        <f t="shared" si="122"/>
        <v>#DIV/0!</v>
      </c>
      <c r="AH41" s="86" t="e">
        <f t="shared" si="122"/>
        <v>#DIV/0!</v>
      </c>
      <c r="AI41" s="86" t="e">
        <f t="shared" si="122"/>
        <v>#DIV/0!</v>
      </c>
      <c r="AJ41" s="86" t="e">
        <f t="shared" si="122"/>
        <v>#DIV/0!</v>
      </c>
      <c r="AK41" s="51" t="e">
        <f>AE41</f>
        <v>#DIV/0!</v>
      </c>
      <c r="AL41" s="51"/>
      <c r="AM41" s="556" t="s">
        <v>100</v>
      </c>
      <c r="AW41" s="556" t="s">
        <v>100</v>
      </c>
      <c r="AX41" s="1" t="s">
        <v>162</v>
      </c>
      <c r="AY41" s="86" t="e">
        <f t="shared" ref="AY41:BE41" si="123">AD41/$AV$7</f>
        <v>#DIV/0!</v>
      </c>
      <c r="AZ41" s="86" t="e">
        <f t="shared" si="123"/>
        <v>#DIV/0!</v>
      </c>
      <c r="BA41" s="86" t="e">
        <f t="shared" si="123"/>
        <v>#DIV/0!</v>
      </c>
      <c r="BB41" s="86" t="e">
        <f t="shared" si="123"/>
        <v>#DIV/0!</v>
      </c>
      <c r="BC41" s="86" t="e">
        <f t="shared" si="123"/>
        <v>#DIV/0!</v>
      </c>
      <c r="BD41" s="86" t="e">
        <f t="shared" si="123"/>
        <v>#DIV/0!</v>
      </c>
      <c r="BE41" s="86" t="e">
        <f t="shared" si="123"/>
        <v>#DIV/0!</v>
      </c>
      <c r="BF41" s="51" t="e">
        <f>AZ41</f>
        <v>#DIV/0!</v>
      </c>
    </row>
    <row r="42" spans="1:58" ht="6" customHeight="1" thickBot="1">
      <c r="A42" s="45"/>
      <c r="B42" s="46"/>
      <c r="C42" s="46"/>
      <c r="D42" s="46"/>
      <c r="E42" s="46"/>
      <c r="F42" s="46"/>
      <c r="G42" s="46"/>
      <c r="H42" s="46"/>
      <c r="I42" s="46"/>
      <c r="J42" s="261"/>
      <c r="S42" s="556" t="s">
        <v>100</v>
      </c>
      <c r="T42" s="22"/>
      <c r="AA42" s="22"/>
      <c r="AB42" s="320"/>
      <c r="AC42" s="45"/>
      <c r="AD42" s="46"/>
      <c r="AE42" s="46"/>
      <c r="AF42" s="46"/>
      <c r="AG42" s="46"/>
      <c r="AH42" s="46"/>
      <c r="AI42" s="46"/>
      <c r="AJ42" s="46"/>
      <c r="AK42" s="46"/>
      <c r="AL42" s="46"/>
      <c r="AM42" s="556" t="s">
        <v>100</v>
      </c>
      <c r="AW42" s="556" t="s">
        <v>100</v>
      </c>
      <c r="AX42" s="45"/>
      <c r="AY42" s="46"/>
      <c r="AZ42" s="46"/>
      <c r="BA42" s="46"/>
      <c r="BB42" s="46"/>
      <c r="BC42" s="46"/>
      <c r="BD42" s="46"/>
      <c r="BE42" s="46"/>
      <c r="BF42" s="46"/>
    </row>
    <row r="43" spans="1:58">
      <c r="A43" s="244" t="s">
        <v>167</v>
      </c>
      <c r="B43" s="56">
        <v>0</v>
      </c>
      <c r="C43" s="57">
        <v>70.520047598075521</v>
      </c>
      <c r="D43" s="57">
        <v>59.216999622224421</v>
      </c>
      <c r="E43" s="57">
        <v>63.165144686529892</v>
      </c>
      <c r="F43" s="57">
        <v>67.320567366711401</v>
      </c>
      <c r="G43" s="58">
        <v>71.694149737602459</v>
      </c>
      <c r="H43" s="82">
        <v>5.702297584889755</v>
      </c>
      <c r="I43" s="44">
        <v>70.520047598075521</v>
      </c>
      <c r="J43" s="262">
        <v>0.32301921253042787</v>
      </c>
      <c r="K43" s="90"/>
      <c r="L43" s="91" t="s">
        <v>141</v>
      </c>
      <c r="M43" s="92"/>
      <c r="N43" s="93">
        <v>0.43062768952757796</v>
      </c>
      <c r="O43" s="94">
        <v>215.31384476378904</v>
      </c>
      <c r="P43" s="95">
        <v>5.3828461190947245E-2</v>
      </c>
      <c r="Q43" s="94">
        <v>26.914230595473629</v>
      </c>
      <c r="S43" s="556" t="s">
        <v>100</v>
      </c>
      <c r="T43" s="475">
        <f>Q50/AVERAGE('RFQ Data'!D13:H13)*SIMUL_VOL</f>
        <v>0</v>
      </c>
      <c r="U43" t="s">
        <v>168</v>
      </c>
      <c r="V43" s="90"/>
      <c r="W43" s="91" t="s">
        <v>141</v>
      </c>
      <c r="X43" s="92"/>
      <c r="Y43" s="93">
        <f>N43</f>
        <v>0.43062768952757796</v>
      </c>
      <c r="Z43" s="95">
        <f>Y43/$K$52</f>
        <v>5.3828461190947245E-2</v>
      </c>
      <c r="AA43" s="310"/>
      <c r="AB43" s="320"/>
      <c r="AC43" s="244" t="s">
        <v>167</v>
      </c>
      <c r="AD43" s="56" t="e">
        <f>+AD38-AD41</f>
        <v>#DIV/0!</v>
      </c>
      <c r="AE43" s="57" t="e">
        <f>+AE38-AE41</f>
        <v>#DIV/0!</v>
      </c>
      <c r="AF43" s="57" t="e">
        <f t="shared" ref="AF43:AJ43" si="124">+AF38-AF41</f>
        <v>#DIV/0!</v>
      </c>
      <c r="AG43" s="57" t="e">
        <f t="shared" si="124"/>
        <v>#DIV/0!</v>
      </c>
      <c r="AH43" s="57" t="e">
        <f t="shared" si="124"/>
        <v>#DIV/0!</v>
      </c>
      <c r="AI43" s="58" t="e">
        <f t="shared" si="124"/>
        <v>#DIV/0!</v>
      </c>
      <c r="AJ43" s="82" t="e">
        <f t="shared" si="124"/>
        <v>#DIV/0!</v>
      </c>
      <c r="AK43" s="44" t="e">
        <f>AE43</f>
        <v>#DIV/0!</v>
      </c>
      <c r="AL43" s="44"/>
      <c r="AM43" s="556" t="s">
        <v>100</v>
      </c>
      <c r="AW43" s="556" t="s">
        <v>100</v>
      </c>
      <c r="AX43" s="244" t="s">
        <v>167</v>
      </c>
      <c r="AY43" s="56" t="e">
        <f>+AY38-AY41</f>
        <v>#DIV/0!</v>
      </c>
      <c r="AZ43" s="57" t="e">
        <f>+AZ38-AZ41</f>
        <v>#DIV/0!</v>
      </c>
      <c r="BA43" s="57" t="e">
        <f t="shared" ref="BA43:BE43" si="125">+BA38-BA41</f>
        <v>#DIV/0!</v>
      </c>
      <c r="BB43" s="57" t="e">
        <f t="shared" si="125"/>
        <v>#DIV/0!</v>
      </c>
      <c r="BC43" s="57" t="e">
        <f t="shared" si="125"/>
        <v>#DIV/0!</v>
      </c>
      <c r="BD43" s="58" t="e">
        <f t="shared" si="125"/>
        <v>#DIV/0!</v>
      </c>
      <c r="BE43" s="82" t="e">
        <f t="shared" si="125"/>
        <v>#DIV/0!</v>
      </c>
      <c r="BF43" s="44" t="e">
        <f>AZ43</f>
        <v>#DIV/0!</v>
      </c>
    </row>
    <row r="44" spans="1:58" ht="15" thickBot="1">
      <c r="A44" s="245"/>
      <c r="B44" s="60">
        <v>0</v>
      </c>
      <c r="C44" s="61">
        <v>0.1057959383323855</v>
      </c>
      <c r="D44" s="61">
        <v>8.8838823194905492E-2</v>
      </c>
      <c r="E44" s="61">
        <v>9.4761929119779723E-2</v>
      </c>
      <c r="F44" s="61">
        <v>0.10099599810570985</v>
      </c>
      <c r="G44" s="62">
        <v>0.10755735571340133</v>
      </c>
      <c r="H44" s="83">
        <v>0</v>
      </c>
      <c r="J44" s="261"/>
      <c r="K44" s="252" t="s">
        <v>142</v>
      </c>
      <c r="L44" s="96" t="s">
        <v>143</v>
      </c>
      <c r="M44" s="92"/>
      <c r="N44" s="93">
        <v>6.0738826260853945E-2</v>
      </c>
      <c r="O44" s="94">
        <v>30.369413130426977</v>
      </c>
      <c r="P44" s="95">
        <v>7.5923532826067432E-3</v>
      </c>
      <c r="Q44" s="94">
        <v>3.7961766413033722</v>
      </c>
      <c r="S44" s="556" t="s">
        <v>100</v>
      </c>
      <c r="T44" s="22"/>
      <c r="V44" s="311" t="s">
        <v>142</v>
      </c>
      <c r="W44" s="96" t="s">
        <v>143</v>
      </c>
      <c r="X44" s="92"/>
      <c r="Y44" s="93">
        <f>N44</f>
        <v>6.0738826260853945E-2</v>
      </c>
      <c r="Z44" s="95">
        <f t="shared" ref="Z44:Z49" si="126">Y44/$K$52</f>
        <v>7.5923532826067432E-3</v>
      </c>
      <c r="AA44" s="22"/>
      <c r="AB44" s="320"/>
      <c r="AC44" s="245"/>
      <c r="AD44" s="60">
        <f>+IF(AD$8&lt;&gt;0,AD43/AD$8,0)</f>
        <v>0</v>
      </c>
      <c r="AE44" s="61">
        <f t="shared" ref="AE44:AJ44" si="127">+IF(AE$8&lt;&gt;0,AE43/AE$8,0)</f>
        <v>0</v>
      </c>
      <c r="AF44" s="61">
        <f t="shared" si="127"/>
        <v>0</v>
      </c>
      <c r="AG44" s="61">
        <f t="shared" si="127"/>
        <v>0</v>
      </c>
      <c r="AH44" s="61">
        <f t="shared" si="127"/>
        <v>0</v>
      </c>
      <c r="AI44" s="62">
        <f t="shared" si="127"/>
        <v>0</v>
      </c>
      <c r="AJ44" s="83">
        <f t="shared" si="127"/>
        <v>0</v>
      </c>
      <c r="AM44" s="556" t="s">
        <v>100</v>
      </c>
      <c r="AW44" s="556" t="s">
        <v>100</v>
      </c>
      <c r="AX44" s="245"/>
      <c r="AY44" s="60">
        <f>AD44</f>
        <v>0</v>
      </c>
      <c r="AZ44" s="61">
        <f t="shared" ref="AZ44" si="128">AE44</f>
        <v>0</v>
      </c>
      <c r="BA44" s="61">
        <f t="shared" ref="BA44" si="129">AF44</f>
        <v>0</v>
      </c>
      <c r="BB44" s="61">
        <f t="shared" ref="BB44" si="130">AG44</f>
        <v>0</v>
      </c>
      <c r="BC44" s="61">
        <f t="shared" ref="BC44" si="131">AH44</f>
        <v>0</v>
      </c>
      <c r="BD44" s="62">
        <f t="shared" ref="BD44" si="132">AI44</f>
        <v>0</v>
      </c>
      <c r="BE44" s="83">
        <f t="shared" ref="BE44" si="133">AJ44</f>
        <v>0</v>
      </c>
    </row>
    <row r="45" spans="1:58" ht="15" thickBot="1">
      <c r="A45" s="45"/>
      <c r="B45" s="46"/>
      <c r="C45" s="46"/>
      <c r="D45" s="46"/>
      <c r="E45" s="46"/>
      <c r="F45" s="46"/>
      <c r="G45" s="46"/>
      <c r="H45" s="46"/>
      <c r="J45" s="262">
        <v>0.26438939807755185</v>
      </c>
      <c r="K45" s="253"/>
      <c r="L45" s="96" t="s">
        <v>144</v>
      </c>
      <c r="M45" s="92"/>
      <c r="N45" s="93">
        <v>0.136882199242231</v>
      </c>
      <c r="O45" s="94">
        <v>68.441099621115512</v>
      </c>
      <c r="P45" s="95">
        <v>1.7110274905278874E-2</v>
      </c>
      <c r="Q45" s="94">
        <v>8.555137452639439</v>
      </c>
      <c r="S45" s="556" t="s">
        <v>100</v>
      </c>
      <c r="T45" s="310"/>
      <c r="V45" s="312"/>
      <c r="W45" s="96" t="s">
        <v>144</v>
      </c>
      <c r="X45" s="92"/>
      <c r="Y45" s="93">
        <f>N45</f>
        <v>0.136882199242231</v>
      </c>
      <c r="Z45" s="95">
        <f t="shared" si="126"/>
        <v>1.7110274905278874E-2</v>
      </c>
      <c r="AA45" s="310"/>
      <c r="AB45" s="320"/>
      <c r="AC45" s="45"/>
      <c r="AD45" s="46"/>
      <c r="AE45" s="46"/>
      <c r="AF45" s="46"/>
      <c r="AG45" s="46"/>
      <c r="AH45" s="46"/>
      <c r="AI45" s="46"/>
      <c r="AJ45" s="46"/>
      <c r="AM45" s="556" t="s">
        <v>100</v>
      </c>
      <c r="AW45" s="556" t="s">
        <v>100</v>
      </c>
      <c r="AX45" s="45"/>
      <c r="AY45" s="46"/>
      <c r="AZ45" s="46"/>
      <c r="BA45" s="46"/>
      <c r="BB45" s="46"/>
      <c r="BC45" s="46"/>
      <c r="BD45" s="46"/>
      <c r="BE45" s="46"/>
    </row>
    <row r="46" spans="1:58" ht="15" thickBot="1">
      <c r="A46" s="45"/>
      <c r="B46" s="97">
        <v>2025</v>
      </c>
      <c r="C46" s="98">
        <v>2026</v>
      </c>
      <c r="D46" s="98">
        <v>2027</v>
      </c>
      <c r="E46" s="98">
        <v>2028</v>
      </c>
      <c r="F46" s="98">
        <v>2029</v>
      </c>
      <c r="G46" s="98">
        <v>2030</v>
      </c>
      <c r="H46" s="99">
        <v>2031</v>
      </c>
      <c r="K46" s="254"/>
      <c r="L46" s="96" t="s">
        <v>169</v>
      </c>
      <c r="M46" s="92"/>
      <c r="N46" s="93">
        <v>0.15484530223585236</v>
      </c>
      <c r="O46" s="94">
        <v>77.422651117926193</v>
      </c>
      <c r="P46" s="95">
        <v>1.9355662779481544E-2</v>
      </c>
      <c r="Q46" s="94">
        <v>9.6778313897407742</v>
      </c>
      <c r="S46" s="556" t="s">
        <v>100</v>
      </c>
      <c r="T46" s="22"/>
      <c r="V46" s="313"/>
      <c r="W46" s="96" t="s">
        <v>145</v>
      </c>
      <c r="X46" s="92"/>
      <c r="Y46" s="93">
        <f>N46</f>
        <v>0.15484530223585236</v>
      </c>
      <c r="Z46" s="95">
        <f t="shared" si="126"/>
        <v>1.9355662779481544E-2</v>
      </c>
      <c r="AA46" s="22"/>
      <c r="AB46" s="320"/>
      <c r="AC46" s="45"/>
      <c r="AD46" s="97">
        <v>2023</v>
      </c>
      <c r="AE46" s="98">
        <v>2024</v>
      </c>
      <c r="AF46" s="98">
        <v>2025</v>
      </c>
      <c r="AG46" s="98">
        <v>2026</v>
      </c>
      <c r="AH46" s="98">
        <v>2027</v>
      </c>
      <c r="AI46" s="98">
        <v>2028</v>
      </c>
      <c r="AJ46" s="99">
        <v>2029</v>
      </c>
      <c r="AM46" s="556" t="s">
        <v>100</v>
      </c>
      <c r="AW46" s="556" t="s">
        <v>100</v>
      </c>
      <c r="AX46" s="45"/>
      <c r="AY46" s="97">
        <v>2023</v>
      </c>
      <c r="AZ46" s="98">
        <v>2024</v>
      </c>
      <c r="BA46" s="98">
        <v>2025</v>
      </c>
      <c r="BB46" s="98">
        <v>2026</v>
      </c>
      <c r="BC46" s="98">
        <v>2027</v>
      </c>
      <c r="BD46" s="98">
        <v>2028</v>
      </c>
      <c r="BE46" s="99">
        <v>2029</v>
      </c>
    </row>
    <row r="47" spans="1:58">
      <c r="A47" s="47" t="s">
        <v>149</v>
      </c>
      <c r="B47" s="100">
        <v>0</v>
      </c>
      <c r="C47" s="76">
        <v>110.11249363817102</v>
      </c>
      <c r="D47" s="76">
        <v>110.11249363817102</v>
      </c>
      <c r="E47" s="76">
        <v>110.11249363817102</v>
      </c>
      <c r="F47" s="76">
        <v>110.11249363817102</v>
      </c>
      <c r="G47" s="76">
        <v>110.11249363817102</v>
      </c>
      <c r="H47" s="77">
        <v>0</v>
      </c>
      <c r="J47" s="595"/>
      <c r="K47" s="314" t="s">
        <v>146</v>
      </c>
      <c r="L47" s="96" t="s">
        <v>147</v>
      </c>
      <c r="M47" s="92"/>
      <c r="N47" s="93">
        <v>0.19868334923889255</v>
      </c>
      <c r="O47" s="94">
        <v>99.341674619446295</v>
      </c>
      <c r="P47" s="95">
        <v>2.4835418654861569E-2</v>
      </c>
      <c r="Q47" s="94">
        <v>12.417709327430787</v>
      </c>
      <c r="S47" s="556" t="s">
        <v>100</v>
      </c>
      <c r="T47" s="359"/>
      <c r="U47" s="361" t="s">
        <v>170</v>
      </c>
      <c r="V47" s="314" t="s">
        <v>146</v>
      </c>
      <c r="W47" s="96" t="s">
        <v>147</v>
      </c>
      <c r="X47" s="92"/>
      <c r="Y47" s="360">
        <f>N47/$V$60*$U$49</f>
        <v>0.19868334923889255</v>
      </c>
      <c r="Z47" s="95">
        <f t="shared" si="126"/>
        <v>2.4835418654861569E-2</v>
      </c>
      <c r="AA47" s="243"/>
      <c r="AB47" s="320"/>
      <c r="AC47" s="47" t="s">
        <v>149</v>
      </c>
      <c r="AD47" s="100">
        <f>+AE47/AE$2*AD$2</f>
        <v>0</v>
      </c>
      <c r="AE47" s="76">
        <f>C47/C$2*AE$2</f>
        <v>110.11249363817102</v>
      </c>
      <c r="AF47" s="76">
        <f t="shared" ref="AF47" si="134">D47/D$2*AF$2</f>
        <v>110.11249363817102</v>
      </c>
      <c r="AG47" s="76">
        <f t="shared" ref="AG47" si="135">E47/E$2*AG$2</f>
        <v>110.11249363817102</v>
      </c>
      <c r="AH47" s="76">
        <f t="shared" ref="AH47" si="136">F47/F$2*AH$2</f>
        <v>110.11249363817102</v>
      </c>
      <c r="AI47" s="76">
        <f>+AH47/AH$2*AI$2</f>
        <v>110.11249363817102</v>
      </c>
      <c r="AJ47" s="77">
        <f>+AI47/AI$2*AJ$2</f>
        <v>0</v>
      </c>
      <c r="AM47" s="556" t="s">
        <v>100</v>
      </c>
      <c r="AW47" s="556" t="s">
        <v>100</v>
      </c>
      <c r="AX47" s="47" t="s">
        <v>149</v>
      </c>
      <c r="AY47" s="100">
        <f t="shared" ref="AY47:BE54" si="137">AD47/$AV$7</f>
        <v>0</v>
      </c>
      <c r="AZ47" s="76">
        <f t="shared" si="137"/>
        <v>13.764061704771377</v>
      </c>
      <c r="BA47" s="76">
        <f t="shared" si="137"/>
        <v>13.764061704771377</v>
      </c>
      <c r="BB47" s="76">
        <f t="shared" si="137"/>
        <v>13.764061704771377</v>
      </c>
      <c r="BC47" s="76">
        <f t="shared" si="137"/>
        <v>13.764061704771377</v>
      </c>
      <c r="BD47" s="76">
        <f t="shared" si="137"/>
        <v>13.764061704771377</v>
      </c>
      <c r="BE47" s="77">
        <f t="shared" si="137"/>
        <v>0</v>
      </c>
    </row>
    <row r="48" spans="1:58">
      <c r="A48" s="16" t="s">
        <v>171</v>
      </c>
      <c r="B48" s="102">
        <v>0</v>
      </c>
      <c r="C48" s="103">
        <v>-23.50668253269184</v>
      </c>
      <c r="D48" s="103">
        <v>-19.738999874074807</v>
      </c>
      <c r="E48" s="103">
        <v>-21.055048228843297</v>
      </c>
      <c r="F48" s="103">
        <v>-22.440189122237136</v>
      </c>
      <c r="G48" s="103">
        <v>-23.898049912534152</v>
      </c>
      <c r="H48" s="104">
        <v>-1.9007658616299183</v>
      </c>
      <c r="J48" s="259">
        <v>0.41259138939202017</v>
      </c>
      <c r="K48" s="260"/>
      <c r="L48" s="96" t="s">
        <v>148</v>
      </c>
      <c r="M48" s="92"/>
      <c r="N48" s="93">
        <v>0.13113101049766906</v>
      </c>
      <c r="O48" s="94">
        <v>65.565505248834555</v>
      </c>
      <c r="P48" s="95">
        <v>1.6391376312208633E-2</v>
      </c>
      <c r="Q48" s="94">
        <v>8.1956881561043193</v>
      </c>
      <c r="S48" s="556" t="s">
        <v>100</v>
      </c>
      <c r="U48" s="361" t="s">
        <v>172</v>
      </c>
      <c r="V48" s="315"/>
      <c r="W48" s="96" t="s">
        <v>148</v>
      </c>
      <c r="X48" s="92"/>
      <c r="Y48" s="360">
        <f>N48/$V$60*$U$49</f>
        <v>0.13113101049766906</v>
      </c>
      <c r="Z48" s="95">
        <f t="shared" si="126"/>
        <v>1.6391376312208633E-2</v>
      </c>
      <c r="AA48" s="316"/>
      <c r="AB48" s="320"/>
      <c r="AC48" s="16" t="s">
        <v>171</v>
      </c>
      <c r="AD48" s="102" t="e">
        <f>-AD41</f>
        <v>#DIV/0!</v>
      </c>
      <c r="AE48" s="103" t="e">
        <f>-AE41</f>
        <v>#DIV/0!</v>
      </c>
      <c r="AF48" s="103" t="e">
        <f t="shared" ref="AF48:AJ48" si="138">-AF41</f>
        <v>#DIV/0!</v>
      </c>
      <c r="AG48" s="103" t="e">
        <f>-AG41</f>
        <v>#DIV/0!</v>
      </c>
      <c r="AH48" s="103" t="e">
        <f t="shared" si="138"/>
        <v>#DIV/0!</v>
      </c>
      <c r="AI48" s="103" t="e">
        <f t="shared" si="138"/>
        <v>#DIV/0!</v>
      </c>
      <c r="AJ48" s="104" t="e">
        <f t="shared" si="138"/>
        <v>#DIV/0!</v>
      </c>
      <c r="AM48" s="556" t="s">
        <v>100</v>
      </c>
      <c r="AW48" s="556" t="s">
        <v>100</v>
      </c>
      <c r="AX48" s="16" t="s">
        <v>171</v>
      </c>
      <c r="AY48" s="102" t="e">
        <f t="shared" si="137"/>
        <v>#DIV/0!</v>
      </c>
      <c r="AZ48" s="103" t="e">
        <f t="shared" si="137"/>
        <v>#DIV/0!</v>
      </c>
      <c r="BA48" s="103" t="e">
        <f t="shared" si="137"/>
        <v>#DIV/0!</v>
      </c>
      <c r="BB48" s="103" t="e">
        <f t="shared" si="137"/>
        <v>#DIV/0!</v>
      </c>
      <c r="BC48" s="103" t="e">
        <f t="shared" si="137"/>
        <v>#DIV/0!</v>
      </c>
      <c r="BD48" s="103" t="e">
        <f t="shared" si="137"/>
        <v>#DIV/0!</v>
      </c>
      <c r="BE48" s="104" t="e">
        <f t="shared" si="137"/>
        <v>#DIV/0!</v>
      </c>
    </row>
    <row r="49" spans="1:58">
      <c r="A49" s="16" t="s">
        <v>173</v>
      </c>
      <c r="B49" s="102">
        <v>0</v>
      </c>
      <c r="C49" s="103">
        <v>-79.928817537018332</v>
      </c>
      <c r="D49" s="103">
        <v>0</v>
      </c>
      <c r="E49" s="103">
        <v>0</v>
      </c>
      <c r="F49" s="103">
        <v>0</v>
      </c>
      <c r="G49" s="103">
        <v>0</v>
      </c>
      <c r="H49" s="104">
        <v>0</v>
      </c>
      <c r="J49" s="101"/>
      <c r="K49" s="251"/>
      <c r="L49" s="96" t="s">
        <v>149</v>
      </c>
      <c r="M49" s="92"/>
      <c r="N49" s="93">
        <v>0.22022498727634199</v>
      </c>
      <c r="O49" s="94">
        <v>110.11249363817102</v>
      </c>
      <c r="P49" s="95">
        <v>2.7528123409542749E-2</v>
      </c>
      <c r="Q49" s="94">
        <v>13.764061704771377</v>
      </c>
      <c r="S49" s="556" t="s">
        <v>100</v>
      </c>
      <c r="U49" s="362">
        <f>(V$56/$V$57*$I$2/IF(Y$41&lt;&gt;0,$Y$41,$I$2)/$Y$57)^$Y$56/$V$58*V60</f>
        <v>1.1519160391050469</v>
      </c>
      <c r="V49" s="317"/>
      <c r="W49" s="96" t="s">
        <v>149</v>
      </c>
      <c r="X49" s="92"/>
      <c r="Y49" s="93">
        <f>N49</f>
        <v>0.22022498727634199</v>
      </c>
      <c r="Z49" s="559">
        <f t="shared" si="126"/>
        <v>2.7528123409542749E-2</v>
      </c>
      <c r="AA49" s="243"/>
      <c r="AB49" s="320"/>
      <c r="AC49" s="16" t="s">
        <v>173</v>
      </c>
      <c r="AD49" s="102">
        <f>-AD60</f>
        <v>0</v>
      </c>
      <c r="AE49" s="103">
        <f>-AE60</f>
        <v>-79.928817537018332</v>
      </c>
      <c r="AF49" s="103">
        <f t="shared" ref="AF49:AI49" si="139">-AF60</f>
        <v>0</v>
      </c>
      <c r="AG49" s="103">
        <f>-AG60</f>
        <v>0</v>
      </c>
      <c r="AH49" s="103">
        <f t="shared" si="139"/>
        <v>0</v>
      </c>
      <c r="AI49" s="103">
        <f t="shared" si="139"/>
        <v>0</v>
      </c>
      <c r="AJ49" s="104">
        <f>-AJ60</f>
        <v>0</v>
      </c>
      <c r="AM49" s="556" t="s">
        <v>100</v>
      </c>
      <c r="AW49" s="556" t="s">
        <v>100</v>
      </c>
      <c r="AX49" s="16" t="s">
        <v>173</v>
      </c>
      <c r="AY49" s="102">
        <f t="shared" si="137"/>
        <v>0</v>
      </c>
      <c r="AZ49" s="103">
        <f t="shared" si="137"/>
        <v>-9.9911021921272916</v>
      </c>
      <c r="BA49" s="103">
        <f t="shared" si="137"/>
        <v>0</v>
      </c>
      <c r="BB49" s="103">
        <f t="shared" si="137"/>
        <v>0</v>
      </c>
      <c r="BC49" s="103">
        <f t="shared" si="137"/>
        <v>0</v>
      </c>
      <c r="BD49" s="103">
        <f t="shared" si="137"/>
        <v>0</v>
      </c>
      <c r="BE49" s="104">
        <f t="shared" si="137"/>
        <v>0</v>
      </c>
    </row>
    <row r="50" spans="1:58">
      <c r="A50" s="16" t="s">
        <v>174</v>
      </c>
      <c r="B50" s="102">
        <v>0</v>
      </c>
      <c r="C50" s="103">
        <v>-157.28429991314209</v>
      </c>
      <c r="D50" s="103">
        <v>0</v>
      </c>
      <c r="E50" s="103">
        <v>0</v>
      </c>
      <c r="F50" s="103">
        <v>0</v>
      </c>
      <c r="G50" s="103">
        <v>0</v>
      </c>
      <c r="H50" s="104">
        <v>157.28429991314209</v>
      </c>
      <c r="L50" s="96" t="s">
        <v>175</v>
      </c>
      <c r="M50" s="92"/>
      <c r="N50" s="105"/>
      <c r="O50" s="94">
        <v>666.56668213970966</v>
      </c>
      <c r="P50" s="106"/>
      <c r="Q50" s="94">
        <v>83.320835267463707</v>
      </c>
      <c r="S50" s="556" t="s">
        <v>100</v>
      </c>
      <c r="X50" s="22"/>
      <c r="Y50" s="107" t="str">
        <f>$N$52</f>
        <v>RMB</v>
      </c>
      <c r="Z50" s="107" t="str">
        <f>$P$52</f>
        <v>EUR</v>
      </c>
      <c r="AA50" s="22"/>
      <c r="AB50" s="320"/>
      <c r="AC50" s="16" t="s">
        <v>174</v>
      </c>
      <c r="AD50" s="102">
        <f>+AD75</f>
        <v>0</v>
      </c>
      <c r="AE50" s="103">
        <f t="shared" ref="AE50:AJ50" si="140">+AE75</f>
        <v>-157.28429991314209</v>
      </c>
      <c r="AF50" s="103">
        <f t="shared" si="140"/>
        <v>0</v>
      </c>
      <c r="AG50" s="103">
        <f>+AG75</f>
        <v>0</v>
      </c>
      <c r="AH50" s="103">
        <f t="shared" si="140"/>
        <v>0</v>
      </c>
      <c r="AI50" s="103">
        <f t="shared" si="140"/>
        <v>0</v>
      </c>
      <c r="AJ50" s="104">
        <f t="shared" si="140"/>
        <v>157.28429991314209</v>
      </c>
      <c r="AM50" s="556" t="s">
        <v>100</v>
      </c>
      <c r="AW50" s="556" t="s">
        <v>100</v>
      </c>
      <c r="AX50" s="16" t="s">
        <v>174</v>
      </c>
      <c r="AY50" s="102">
        <f t="shared" si="137"/>
        <v>0</v>
      </c>
      <c r="AZ50" s="103">
        <f t="shared" si="137"/>
        <v>-19.660537489142762</v>
      </c>
      <c r="BA50" s="103">
        <f t="shared" si="137"/>
        <v>0</v>
      </c>
      <c r="BB50" s="103">
        <f t="shared" si="137"/>
        <v>0</v>
      </c>
      <c r="BC50" s="103">
        <f t="shared" si="137"/>
        <v>0</v>
      </c>
      <c r="BD50" s="103">
        <f t="shared" si="137"/>
        <v>0</v>
      </c>
      <c r="BE50" s="104">
        <f t="shared" si="137"/>
        <v>19.660537489142762</v>
      </c>
    </row>
    <row r="51" spans="1:58">
      <c r="A51" s="16" t="s">
        <v>154</v>
      </c>
      <c r="B51" s="102">
        <v>0</v>
      </c>
      <c r="C51" s="103">
        <v>-0.1</v>
      </c>
      <c r="D51" s="103">
        <v>-15.170730634468127</v>
      </c>
      <c r="E51" s="103">
        <v>-9.9065372153941595</v>
      </c>
      <c r="F51" s="103">
        <v>-4.3659736418188109</v>
      </c>
      <c r="G51" s="103">
        <v>1.4654695193692449</v>
      </c>
      <c r="H51" s="104">
        <v>7.6030634465196734</v>
      </c>
      <c r="K51" s="107" t="s">
        <v>69</v>
      </c>
      <c r="L51" s="286" t="s">
        <v>176</v>
      </c>
      <c r="M51" s="287"/>
      <c r="N51" s="288">
        <v>1.333133364279419</v>
      </c>
      <c r="O51" s="106" t="s">
        <v>177</v>
      </c>
      <c r="P51" s="289">
        <v>0.16664167053492737</v>
      </c>
      <c r="Q51" s="106" t="s">
        <v>178</v>
      </c>
      <c r="S51" s="556" t="s">
        <v>100</v>
      </c>
      <c r="W51" s="22"/>
      <c r="X51" s="6" t="s">
        <v>179</v>
      </c>
      <c r="Y51" s="318">
        <f>SUM(Y43:Y49)</f>
        <v>1.3331333642794188</v>
      </c>
      <c r="Z51" s="560">
        <f>SUM(Z43:Z49)</f>
        <v>0.16664167053492734</v>
      </c>
      <c r="AA51" s="22"/>
      <c r="AB51" s="320"/>
      <c r="AC51" s="16" t="s">
        <v>154</v>
      </c>
      <c r="AD51" s="102">
        <f>+IF((AD47+AD49+AD50)*1.1*0.1&lt;0,(AD47+AD49+AD50)*1.1*0.1,0)</f>
        <v>0</v>
      </c>
      <c r="AE51" s="103" t="e">
        <f>10%*AD54</f>
        <v>#DIV/0!</v>
      </c>
      <c r="AF51" s="103" t="e">
        <f>10%*AE54</f>
        <v>#DIV/0!</v>
      </c>
      <c r="AG51" s="103" t="e">
        <f>10%*AF54</f>
        <v>#DIV/0!</v>
      </c>
      <c r="AH51" s="103" t="e">
        <f t="shared" ref="AH51" si="141">10%*AG54</f>
        <v>#DIV/0!</v>
      </c>
      <c r="AI51" s="103" t="e">
        <f>10%*AH54</f>
        <v>#DIV/0!</v>
      </c>
      <c r="AJ51" s="104" t="e">
        <f>10%*AI54</f>
        <v>#DIV/0!</v>
      </c>
      <c r="AM51" s="556" t="s">
        <v>100</v>
      </c>
      <c r="AW51" s="556" t="s">
        <v>100</v>
      </c>
      <c r="AX51" s="16" t="s">
        <v>154</v>
      </c>
      <c r="AY51" s="102">
        <f t="shared" si="137"/>
        <v>0</v>
      </c>
      <c r="AZ51" s="103" t="e">
        <f t="shared" si="137"/>
        <v>#DIV/0!</v>
      </c>
      <c r="BA51" s="103" t="e">
        <f t="shared" si="137"/>
        <v>#DIV/0!</v>
      </c>
      <c r="BB51" s="103" t="e">
        <f t="shared" si="137"/>
        <v>#DIV/0!</v>
      </c>
      <c r="BC51" s="103" t="e">
        <f t="shared" si="137"/>
        <v>#DIV/0!</v>
      </c>
      <c r="BD51" s="103" t="e">
        <f t="shared" si="137"/>
        <v>#DIV/0!</v>
      </c>
      <c r="BE51" s="104" t="e">
        <f t="shared" si="137"/>
        <v>#DIV/0!</v>
      </c>
    </row>
    <row r="52" spans="1:58" ht="15" thickBot="1">
      <c r="A52" s="27" t="s">
        <v>180</v>
      </c>
      <c r="B52" s="108">
        <v>0</v>
      </c>
      <c r="C52" s="109">
        <v>0</v>
      </c>
      <c r="D52" s="109">
        <v>-22.560828938888424</v>
      </c>
      <c r="E52" s="109">
        <v>-23.745272458180068</v>
      </c>
      <c r="F52" s="109">
        <v>-24.991899262234522</v>
      </c>
      <c r="G52" s="109">
        <v>-26.303973973501837</v>
      </c>
      <c r="H52" s="110">
        <v>-48.895979249409557</v>
      </c>
      <c r="K52" s="111">
        <v>8</v>
      </c>
      <c r="N52" s="107" t="s">
        <v>27</v>
      </c>
      <c r="O52" s="112" t="s">
        <v>27</v>
      </c>
      <c r="P52" s="107" t="s">
        <v>61</v>
      </c>
      <c r="Q52" s="112" t="s">
        <v>61</v>
      </c>
      <c r="S52" s="556" t="s">
        <v>100</v>
      </c>
      <c r="Y52" s="365" t="s">
        <v>181</v>
      </c>
      <c r="AB52" s="320"/>
      <c r="AC52" s="528" t="s">
        <v>180</v>
      </c>
      <c r="AD52" s="108">
        <f>IF(SUM(B47:B51)&gt;0,B52/SUM(B47:B51)*SUM(AD47:AD51),0)</f>
        <v>0</v>
      </c>
      <c r="AE52" s="109">
        <f t="shared" ref="AE52:AJ52" si="142">IF(SUM(C47:C51)&gt;0,C52/SUM(C47:C51)*SUM(AE47:AE51),0)</f>
        <v>0</v>
      </c>
      <c r="AF52" s="109" t="e">
        <f t="shared" si="142"/>
        <v>#DIV/0!</v>
      </c>
      <c r="AG52" s="109" t="e">
        <f t="shared" si="142"/>
        <v>#DIV/0!</v>
      </c>
      <c r="AH52" s="109" t="e">
        <f t="shared" si="142"/>
        <v>#DIV/0!</v>
      </c>
      <c r="AI52" s="109" t="e">
        <f t="shared" si="142"/>
        <v>#DIV/0!</v>
      </c>
      <c r="AJ52" s="110" t="e">
        <f t="shared" si="142"/>
        <v>#DIV/0!</v>
      </c>
      <c r="AM52" s="556" t="s">
        <v>100</v>
      </c>
      <c r="AW52" s="556" t="s">
        <v>100</v>
      </c>
      <c r="AX52" s="528" t="s">
        <v>180</v>
      </c>
      <c r="AY52" s="108">
        <f t="shared" si="137"/>
        <v>0</v>
      </c>
      <c r="AZ52" s="109">
        <f t="shared" si="137"/>
        <v>0</v>
      </c>
      <c r="BA52" s="109" t="e">
        <f t="shared" si="137"/>
        <v>#DIV/0!</v>
      </c>
      <c r="BB52" s="109" t="e">
        <f t="shared" si="137"/>
        <v>#DIV/0!</v>
      </c>
      <c r="BC52" s="109" t="e">
        <f t="shared" si="137"/>
        <v>#DIV/0!</v>
      </c>
      <c r="BD52" s="109" t="e">
        <f t="shared" si="137"/>
        <v>#DIV/0!</v>
      </c>
      <c r="BE52" s="110" t="e">
        <f t="shared" si="137"/>
        <v>#DIV/0!</v>
      </c>
    </row>
    <row r="53" spans="1:58">
      <c r="A53" s="113" t="s">
        <v>182</v>
      </c>
      <c r="B53" s="56">
        <v>-1</v>
      </c>
      <c r="C53" s="57">
        <v>-150.70730634468126</v>
      </c>
      <c r="D53" s="57">
        <v>52.641934190739661</v>
      </c>
      <c r="E53" s="57">
        <v>55.405635735753492</v>
      </c>
      <c r="F53" s="57">
        <v>58.314431611880551</v>
      </c>
      <c r="G53" s="57">
        <v>61.375939271504279</v>
      </c>
      <c r="H53" s="58">
        <v>114.09061824862232</v>
      </c>
      <c r="J53" t="s">
        <v>183</v>
      </c>
      <c r="M53" s="657" t="s">
        <v>184</v>
      </c>
      <c r="N53" s="491">
        <v>13000</v>
      </c>
      <c r="O53" t="s">
        <v>185</v>
      </c>
      <c r="S53" s="556" t="s">
        <v>100</v>
      </c>
      <c r="T53" s="320"/>
      <c r="U53" s="320"/>
      <c r="V53" s="320"/>
      <c r="W53" s="320"/>
      <c r="X53" s="320"/>
      <c r="Y53" s="320"/>
      <c r="Z53" s="320"/>
      <c r="AA53" s="320"/>
      <c r="AB53" s="320"/>
      <c r="AC53" s="113" t="s">
        <v>182</v>
      </c>
      <c r="AD53" s="56" t="e">
        <f>+IF(SUM(AD47:AD52)&gt;=0,-1,SUM(AD47:AD52))</f>
        <v>#DIV/0!</v>
      </c>
      <c r="AE53" s="57" t="e">
        <f t="shared" ref="AE53:AH53" si="143">+SUM(AE47:AE52)</f>
        <v>#DIV/0!</v>
      </c>
      <c r="AF53" s="57" t="e">
        <f>+SUM(AF47:AF52)</f>
        <v>#DIV/0!</v>
      </c>
      <c r="AG53" s="57" t="e">
        <f>+SUM(AG47:AG52)</f>
        <v>#DIV/0!</v>
      </c>
      <c r="AH53" s="57" t="e">
        <f t="shared" si="143"/>
        <v>#DIV/0!</v>
      </c>
      <c r="AI53" s="57" t="e">
        <f>+SUM(AI47:AI52)</f>
        <v>#DIV/0!</v>
      </c>
      <c r="AJ53" s="58" t="e">
        <f>+SUM(AJ47:AJ52)</f>
        <v>#DIV/0!</v>
      </c>
      <c r="AM53" s="556" t="s">
        <v>100</v>
      </c>
      <c r="AW53" s="556" t="s">
        <v>100</v>
      </c>
      <c r="AX53" s="113" t="s">
        <v>182</v>
      </c>
      <c r="AY53" s="56" t="e">
        <f t="shared" si="137"/>
        <v>#DIV/0!</v>
      </c>
      <c r="AZ53" s="57" t="e">
        <f t="shared" si="137"/>
        <v>#DIV/0!</v>
      </c>
      <c r="BA53" s="57" t="e">
        <f t="shared" si="137"/>
        <v>#DIV/0!</v>
      </c>
      <c r="BB53" s="57" t="e">
        <f t="shared" si="137"/>
        <v>#DIV/0!</v>
      </c>
      <c r="BC53" s="57" t="e">
        <f t="shared" si="137"/>
        <v>#DIV/0!</v>
      </c>
      <c r="BD53" s="57" t="e">
        <f t="shared" si="137"/>
        <v>#DIV/0!</v>
      </c>
      <c r="BE53" s="58" t="e">
        <f t="shared" si="137"/>
        <v>#DIV/0!</v>
      </c>
    </row>
    <row r="54" spans="1:58" ht="15.95" thickBot="1">
      <c r="A54" s="114" t="s">
        <v>186</v>
      </c>
      <c r="B54" s="115">
        <v>-1</v>
      </c>
      <c r="C54" s="116">
        <v>-151.70730634468126</v>
      </c>
      <c r="D54" s="116">
        <v>-99.065372153941595</v>
      </c>
      <c r="E54" s="116">
        <v>-43.659736418188103</v>
      </c>
      <c r="F54" s="116">
        <v>14.654695193692447</v>
      </c>
      <c r="G54" s="116">
        <v>76.030634465196727</v>
      </c>
      <c r="H54" s="117">
        <v>190.12125271381905</v>
      </c>
      <c r="I54" s="32"/>
      <c r="J54" s="6" t="s">
        <v>187</v>
      </c>
      <c r="K54" s="118" t="s">
        <v>188</v>
      </c>
      <c r="N54" s="107" t="s">
        <v>189</v>
      </c>
      <c r="O54" s="476" t="s">
        <v>190</v>
      </c>
      <c r="P54" t="s">
        <v>191</v>
      </c>
      <c r="S54" s="556" t="s">
        <v>100</v>
      </c>
      <c r="T54" s="234" t="s">
        <v>192</v>
      </c>
      <c r="AB54" s="320"/>
      <c r="AC54" s="114" t="s">
        <v>186</v>
      </c>
      <c r="AD54" s="115" t="e">
        <f>+AD53</f>
        <v>#DIV/0!</v>
      </c>
      <c r="AE54" s="116" t="e">
        <f>+AD54+AE53</f>
        <v>#DIV/0!</v>
      </c>
      <c r="AF54" s="116" t="e">
        <f t="shared" ref="AF54:AJ54" si="144">+AE54+AF53</f>
        <v>#DIV/0!</v>
      </c>
      <c r="AG54" s="116" t="e">
        <f t="shared" si="144"/>
        <v>#DIV/0!</v>
      </c>
      <c r="AH54" s="116" t="e">
        <f t="shared" si="144"/>
        <v>#DIV/0!</v>
      </c>
      <c r="AI54" s="116" t="e">
        <f t="shared" si="144"/>
        <v>#DIV/0!</v>
      </c>
      <c r="AJ54" s="117" t="e">
        <f t="shared" si="144"/>
        <v>#DIV/0!</v>
      </c>
      <c r="AK54" s="32"/>
      <c r="AL54" s="32"/>
      <c r="AM54" s="556" t="s">
        <v>100</v>
      </c>
      <c r="AW54" s="556" t="s">
        <v>100</v>
      </c>
      <c r="AX54" s="114" t="s">
        <v>186</v>
      </c>
      <c r="AY54" s="115" t="e">
        <f t="shared" si="137"/>
        <v>#DIV/0!</v>
      </c>
      <c r="AZ54" s="116" t="e">
        <f t="shared" si="137"/>
        <v>#DIV/0!</v>
      </c>
      <c r="BA54" s="116" t="e">
        <f t="shared" si="137"/>
        <v>#DIV/0!</v>
      </c>
      <c r="BB54" s="116" t="e">
        <f t="shared" si="137"/>
        <v>#DIV/0!</v>
      </c>
      <c r="BC54" s="116" t="e">
        <f t="shared" si="137"/>
        <v>#DIV/0!</v>
      </c>
      <c r="BD54" s="116" t="e">
        <f t="shared" si="137"/>
        <v>#DIV/0!</v>
      </c>
      <c r="BE54" s="117" t="e">
        <f t="shared" si="137"/>
        <v>#DIV/0!</v>
      </c>
      <c r="BF54" s="32"/>
    </row>
    <row r="55" spans="1:58">
      <c r="A55" s="119" t="s">
        <v>193</v>
      </c>
      <c r="B55" s="526">
        <v>1.333133364279419</v>
      </c>
      <c r="C55" s="120" t="s">
        <v>27</v>
      </c>
      <c r="D55" s="120"/>
      <c r="E55" s="120"/>
      <c r="F55" s="120"/>
      <c r="G55" s="120"/>
      <c r="H55" s="121"/>
      <c r="I55" s="122"/>
      <c r="N55" s="6" t="s">
        <v>194</v>
      </c>
      <c r="O55" s="501">
        <v>1.1519160391050469</v>
      </c>
      <c r="S55" s="556" t="s">
        <v>100</v>
      </c>
      <c r="T55" s="204"/>
      <c r="U55" s="6" t="s">
        <v>195</v>
      </c>
      <c r="V55" s="366">
        <v>1200</v>
      </c>
      <c r="W55" t="s">
        <v>196</v>
      </c>
      <c r="X55" s="367"/>
      <c r="Y55" s="358" t="s">
        <v>197</v>
      </c>
      <c r="Z55" s="367"/>
      <c r="AB55" s="320"/>
      <c r="AC55" s="119" t="s">
        <v>193</v>
      </c>
      <c r="AD55" s="526">
        <f>AD7</f>
        <v>0</v>
      </c>
      <c r="AE55" s="120" t="s">
        <v>61</v>
      </c>
      <c r="AF55" s="120"/>
      <c r="AG55" s="120"/>
      <c r="AH55" s="120"/>
      <c r="AI55" s="120"/>
      <c r="AJ55" s="121"/>
      <c r="AK55" s="122"/>
      <c r="AL55" s="122"/>
      <c r="AM55" s="556" t="s">
        <v>100</v>
      </c>
      <c r="AW55" s="556" t="s">
        <v>100</v>
      </c>
      <c r="AX55" s="119" t="s">
        <v>193</v>
      </c>
      <c r="AY55" s="526">
        <f>AD55/$AV$7</f>
        <v>0</v>
      </c>
      <c r="AZ55" s="120" t="str">
        <f>BF7</f>
        <v>EUR</v>
      </c>
      <c r="BA55" s="120"/>
      <c r="BB55" s="120"/>
      <c r="BC55" s="120"/>
      <c r="BD55" s="120"/>
      <c r="BE55" s="121"/>
      <c r="BF55" s="122"/>
    </row>
    <row r="56" spans="1:58" ht="15" thickBot="1">
      <c r="A56" s="123" t="s">
        <v>198</v>
      </c>
      <c r="B56" s="124">
        <v>0.30009444505432636</v>
      </c>
      <c r="C56" s="51"/>
      <c r="D56" s="51"/>
      <c r="E56" s="51"/>
      <c r="F56" s="51"/>
      <c r="G56" s="51"/>
      <c r="H56" s="125"/>
      <c r="J56" s="6"/>
      <c r="N56" s="6" t="s">
        <v>199</v>
      </c>
      <c r="O56" s="501">
        <v>1.1519160391050469</v>
      </c>
      <c r="S56" s="556" t="s">
        <v>100</v>
      </c>
      <c r="T56" s="206"/>
      <c r="U56" s="6" t="s">
        <v>200</v>
      </c>
      <c r="V56">
        <v>120</v>
      </c>
      <c r="W56" t="s">
        <v>201</v>
      </c>
      <c r="X56" s="367"/>
      <c r="Y56">
        <v>0.3</v>
      </c>
      <c r="Z56" s="189" t="s">
        <v>202</v>
      </c>
      <c r="AB56" s="320"/>
      <c r="AC56" s="123" t="s">
        <v>198</v>
      </c>
      <c r="AD56" s="124">
        <f>B56</f>
        <v>0.30009444505432636</v>
      </c>
      <c r="AE56" s="51"/>
      <c r="AF56" s="51"/>
      <c r="AG56" s="51"/>
      <c r="AH56" s="51"/>
      <c r="AI56" s="51"/>
      <c r="AJ56" s="125"/>
      <c r="AM56" s="556" t="s">
        <v>100</v>
      </c>
      <c r="AW56" s="556" t="s">
        <v>100</v>
      </c>
      <c r="AX56" s="123" t="s">
        <v>198</v>
      </c>
      <c r="AY56" s="124">
        <f>AD56</f>
        <v>0.30009444505432636</v>
      </c>
      <c r="AZ56" s="51"/>
      <c r="BA56" s="51"/>
      <c r="BB56" s="51"/>
      <c r="BC56" s="51"/>
      <c r="BD56" s="51"/>
      <c r="BE56" s="125"/>
    </row>
    <row r="57" spans="1:58" ht="15" thickBot="1">
      <c r="A57" s="126" t="s">
        <v>203</v>
      </c>
      <c r="B57" s="127">
        <v>1.8335211479255736E-2</v>
      </c>
      <c r="C57" s="128" t="s">
        <v>27</v>
      </c>
      <c r="D57" s="128"/>
      <c r="E57" s="128"/>
      <c r="F57" s="128"/>
      <c r="G57" s="128"/>
      <c r="H57" s="129"/>
      <c r="N57" s="6" t="s">
        <v>204</v>
      </c>
      <c r="O57" s="546"/>
      <c r="P57" s="498"/>
      <c r="Q57" s="46"/>
      <c r="S57" s="556" t="s">
        <v>100</v>
      </c>
      <c r="T57" s="206"/>
      <c r="U57" s="6" t="s">
        <v>205</v>
      </c>
      <c r="V57" s="379">
        <f>AVERAGE('RFQ Data'!C13:H13)*X37/'RFQ Data'!K24</f>
        <v>74.893678402531748</v>
      </c>
      <c r="W57" t="s">
        <v>168</v>
      </c>
      <c r="X57" t="s">
        <v>206</v>
      </c>
      <c r="Y57">
        <v>1</v>
      </c>
      <c r="Z57" s="189" t="s">
        <v>207</v>
      </c>
      <c r="AB57" s="320"/>
      <c r="AC57" s="126" t="s">
        <v>203</v>
      </c>
      <c r="AD57" s="127">
        <f>B57</f>
        <v>1.8335211479255736E-2</v>
      </c>
      <c r="AE57" s="128" t="s">
        <v>61</v>
      </c>
      <c r="AF57" s="128"/>
      <c r="AG57" s="128"/>
      <c r="AH57" s="128"/>
      <c r="AI57" s="128"/>
      <c r="AJ57" s="129"/>
      <c r="AM57" s="556" t="s">
        <v>100</v>
      </c>
      <c r="AW57" s="556" t="s">
        <v>100</v>
      </c>
      <c r="AX57" s="126" t="s">
        <v>203</v>
      </c>
      <c r="AY57" s="127">
        <f>AD57/$AV$7</f>
        <v>2.291901434906967E-3</v>
      </c>
      <c r="AZ57" s="128" t="str">
        <f>AZ55</f>
        <v>EUR</v>
      </c>
      <c r="BA57" s="128"/>
      <c r="BB57" s="128"/>
      <c r="BC57" s="128"/>
      <c r="BD57" s="128"/>
      <c r="BE57" s="129"/>
    </row>
    <row r="58" spans="1:58" ht="15" thickBot="1">
      <c r="A58" s="500" t="s">
        <v>208</v>
      </c>
      <c r="B58" s="51"/>
      <c r="C58" s="51"/>
      <c r="D58" s="51"/>
      <c r="E58" s="51"/>
      <c r="F58" s="51"/>
      <c r="G58" s="51"/>
      <c r="H58" s="51"/>
      <c r="L58" t="s">
        <v>209</v>
      </c>
      <c r="M58" s="6"/>
      <c r="N58" s="476" t="s">
        <v>190</v>
      </c>
      <c r="O58" s="107" t="s">
        <v>210</v>
      </c>
      <c r="P58" s="502" t="s">
        <v>211</v>
      </c>
      <c r="S58" s="556" t="s">
        <v>100</v>
      </c>
      <c r="U58" s="6" t="s">
        <v>212</v>
      </c>
      <c r="V58" s="364">
        <f>($V$56/V57/$Y$57)^$Y$56</f>
        <v>1.1519160391050469</v>
      </c>
      <c r="W58" t="s">
        <v>213</v>
      </c>
      <c r="AB58" s="320"/>
      <c r="AC58" s="500" t="s">
        <v>208</v>
      </c>
      <c r="AD58" s="51"/>
      <c r="AE58" s="51"/>
      <c r="AF58" s="51"/>
      <c r="AG58" s="51"/>
      <c r="AH58" s="51"/>
      <c r="AI58" s="51"/>
      <c r="AJ58" s="51"/>
      <c r="AM58" s="556" t="s">
        <v>100</v>
      </c>
      <c r="AW58" s="556" t="s">
        <v>100</v>
      </c>
      <c r="AX58" s="500" t="s">
        <v>208</v>
      </c>
      <c r="AY58" s="51"/>
      <c r="AZ58" s="51"/>
      <c r="BA58" s="51"/>
      <c r="BB58" s="51"/>
      <c r="BC58" s="51"/>
      <c r="BD58" s="51"/>
      <c r="BE58" s="51"/>
    </row>
    <row r="59" spans="1:58" ht="15" thickBot="1">
      <c r="A59" s="499" t="s">
        <v>214</v>
      </c>
      <c r="B59" s="97">
        <v>2025</v>
      </c>
      <c r="C59" s="98">
        <v>2026</v>
      </c>
      <c r="D59" s="98">
        <v>2027</v>
      </c>
      <c r="E59" s="98">
        <v>2028</v>
      </c>
      <c r="F59" s="98">
        <v>2029</v>
      </c>
      <c r="G59" s="98">
        <v>2030</v>
      </c>
      <c r="H59" s="99">
        <v>2031</v>
      </c>
      <c r="M59" s="107"/>
      <c r="S59" s="556" t="s">
        <v>100</v>
      </c>
      <c r="U59" s="6" t="s">
        <v>215</v>
      </c>
      <c r="V59" s="379">
        <f>V57/I2*O40</f>
        <v>74.893678402531748</v>
      </c>
      <c r="W59" t="s">
        <v>168</v>
      </c>
      <c r="AB59" s="320"/>
      <c r="AC59" s="499" t="s">
        <v>214</v>
      </c>
      <c r="AD59" s="97">
        <v>2023</v>
      </c>
      <c r="AE59" s="98">
        <v>2024</v>
      </c>
      <c r="AF59" s="98">
        <v>2025</v>
      </c>
      <c r="AG59" s="98">
        <v>2026</v>
      </c>
      <c r="AH59" s="98">
        <v>2027</v>
      </c>
      <c r="AI59" s="98">
        <v>2028</v>
      </c>
      <c r="AJ59" s="99">
        <v>2029</v>
      </c>
      <c r="AM59" s="556" t="s">
        <v>100</v>
      </c>
      <c r="AW59" s="556" t="s">
        <v>100</v>
      </c>
      <c r="AX59" s="499" t="s">
        <v>214</v>
      </c>
      <c r="AY59" s="97">
        <v>2023</v>
      </c>
      <c r="AZ59" s="98">
        <v>2024</v>
      </c>
      <c r="BA59" s="98">
        <v>2025</v>
      </c>
      <c r="BB59" s="98">
        <v>2026</v>
      </c>
      <c r="BC59" s="98">
        <v>2027</v>
      </c>
      <c r="BD59" s="98">
        <v>2028</v>
      </c>
      <c r="BE59" s="99">
        <v>2029</v>
      </c>
    </row>
    <row r="60" spans="1:58" ht="15" thickBot="1">
      <c r="A60" s="130" t="s">
        <v>216</v>
      </c>
      <c r="B60" s="131">
        <v>0</v>
      </c>
      <c r="C60" s="131">
        <v>79.928817537018332</v>
      </c>
      <c r="D60" s="131">
        <v>0</v>
      </c>
      <c r="E60" s="131">
        <v>0</v>
      </c>
      <c r="F60" s="131">
        <v>0</v>
      </c>
      <c r="G60" s="131">
        <v>0</v>
      </c>
      <c r="H60" s="131">
        <v>0</v>
      </c>
      <c r="J60" s="208" t="s">
        <v>217</v>
      </c>
      <c r="M60" t="s">
        <v>218</v>
      </c>
      <c r="S60" s="556" t="s">
        <v>100</v>
      </c>
      <c r="U60" s="6" t="s">
        <v>219</v>
      </c>
      <c r="V60" s="364">
        <f>IF(O57&lt;&gt;0,O57,O56)</f>
        <v>1.1519160391050469</v>
      </c>
      <c r="AB60" s="320"/>
      <c r="AC60" s="549" t="s">
        <v>216</v>
      </c>
      <c r="AD60" s="131">
        <f>B60/$I$2*$AU$2</f>
        <v>0</v>
      </c>
      <c r="AE60" s="131">
        <f t="shared" ref="AE60:AE66" si="145">C60/$I$2*$AU$2</f>
        <v>79.928817537018332</v>
      </c>
      <c r="AF60" s="131">
        <f t="shared" ref="AF60:AF66" si="146">D60/$I$2*$AU$2</f>
        <v>0</v>
      </c>
      <c r="AG60" s="131">
        <f t="shared" ref="AG60:AG66" si="147">E60/$I$2*$AU$2</f>
        <v>0</v>
      </c>
      <c r="AH60" s="131">
        <f t="shared" ref="AH60:AH66" si="148">F60/$I$2*$AU$2</f>
        <v>0</v>
      </c>
      <c r="AI60" s="131">
        <f t="shared" ref="AI60:AI66" si="149">G60/$I$2*$AU$2</f>
        <v>0</v>
      </c>
      <c r="AJ60" s="131">
        <f t="shared" ref="AJ60:AJ66" si="150">H60/$I$2*$AU$2</f>
        <v>0</v>
      </c>
      <c r="AM60" s="556" t="s">
        <v>100</v>
      </c>
      <c r="AW60" s="556" t="s">
        <v>100</v>
      </c>
      <c r="AX60" s="549" t="s">
        <v>216</v>
      </c>
      <c r="AY60" s="131">
        <f t="shared" ref="AY60:BE66" si="151">AD60/$AV$7</f>
        <v>0</v>
      </c>
      <c r="AZ60" s="131">
        <f t="shared" si="151"/>
        <v>9.9911021921272916</v>
      </c>
      <c r="BA60" s="131">
        <f t="shared" si="151"/>
        <v>0</v>
      </c>
      <c r="BB60" s="131">
        <f t="shared" si="151"/>
        <v>0</v>
      </c>
      <c r="BC60" s="131">
        <f t="shared" si="151"/>
        <v>0</v>
      </c>
      <c r="BD60" s="131">
        <f t="shared" si="151"/>
        <v>0</v>
      </c>
      <c r="BE60" s="131">
        <f t="shared" si="151"/>
        <v>0</v>
      </c>
    </row>
    <row r="61" spans="1:58">
      <c r="A61" s="132" t="s">
        <v>220</v>
      </c>
      <c r="B61" s="133">
        <v>0</v>
      </c>
      <c r="C61" s="133">
        <v>0</v>
      </c>
      <c r="D61" s="133">
        <v>0</v>
      </c>
      <c r="E61" s="133">
        <v>0</v>
      </c>
      <c r="F61" s="133">
        <v>0</v>
      </c>
      <c r="G61" s="133"/>
      <c r="H61" s="133"/>
      <c r="K61" s="6" t="s">
        <v>221</v>
      </c>
      <c r="L61" s="32" t="s">
        <v>49</v>
      </c>
      <c r="M61" s="189">
        <v>10</v>
      </c>
      <c r="N61" s="533" t="s">
        <v>222</v>
      </c>
      <c r="O61" s="107" t="s">
        <v>223</v>
      </c>
      <c r="P61" s="533" t="s">
        <v>224</v>
      </c>
      <c r="Q61" s="534" t="s">
        <v>225</v>
      </c>
      <c r="S61" s="556" t="s">
        <v>100</v>
      </c>
      <c r="T61" s="320"/>
      <c r="U61" s="320"/>
      <c r="V61" s="320"/>
      <c r="W61" s="320"/>
      <c r="X61" s="320"/>
      <c r="Y61" s="320"/>
      <c r="Z61" s="320"/>
      <c r="AA61" s="320"/>
      <c r="AB61" s="320"/>
      <c r="AC61" s="550" t="s">
        <v>220</v>
      </c>
      <c r="AD61" s="133">
        <f t="shared" ref="AD61:AD66" si="152">B61/$I$2*$AU$2</f>
        <v>0</v>
      </c>
      <c r="AE61" s="133">
        <f t="shared" si="145"/>
        <v>0</v>
      </c>
      <c r="AF61" s="133">
        <f t="shared" si="146"/>
        <v>0</v>
      </c>
      <c r="AG61" s="133">
        <f t="shared" si="147"/>
        <v>0</v>
      </c>
      <c r="AH61" s="133">
        <f t="shared" si="148"/>
        <v>0</v>
      </c>
      <c r="AI61" s="133">
        <f t="shared" si="149"/>
        <v>0</v>
      </c>
      <c r="AJ61" s="133">
        <f t="shared" si="150"/>
        <v>0</v>
      </c>
      <c r="AM61" s="556" t="s">
        <v>100</v>
      </c>
      <c r="AW61" s="556" t="s">
        <v>100</v>
      </c>
      <c r="AX61" s="550" t="s">
        <v>220</v>
      </c>
      <c r="AY61" s="133">
        <f t="shared" si="151"/>
        <v>0</v>
      </c>
      <c r="AZ61" s="133">
        <f t="shared" si="151"/>
        <v>0</v>
      </c>
      <c r="BA61" s="133">
        <f t="shared" si="151"/>
        <v>0</v>
      </c>
      <c r="BB61" s="133">
        <f t="shared" si="151"/>
        <v>0</v>
      </c>
      <c r="BC61" s="133">
        <f t="shared" si="151"/>
        <v>0</v>
      </c>
      <c r="BD61" s="133">
        <f t="shared" si="151"/>
        <v>0</v>
      </c>
      <c r="BE61" s="133">
        <f t="shared" si="151"/>
        <v>0</v>
      </c>
    </row>
    <row r="62" spans="1:58">
      <c r="A62" s="134" t="s">
        <v>226</v>
      </c>
      <c r="B62" s="135"/>
      <c r="C62" s="135">
        <v>15.985763507403666</v>
      </c>
      <c r="D62" s="135">
        <v>15.985763507403666</v>
      </c>
      <c r="E62" s="135">
        <v>15.985763507403666</v>
      </c>
      <c r="F62" s="135">
        <v>15.985763507403666</v>
      </c>
      <c r="G62" s="135">
        <v>15.985763507403666</v>
      </c>
      <c r="H62" s="135"/>
      <c r="K62" s="6" t="s">
        <v>227</v>
      </c>
      <c r="L62" s="547" t="s">
        <v>228</v>
      </c>
      <c r="M62" s="189">
        <v>5</v>
      </c>
      <c r="N62" s="535">
        <v>0.14689565367275279</v>
      </c>
      <c r="O62" s="536">
        <v>4918.5241473091619</v>
      </c>
      <c r="P62" s="537">
        <v>1.8361956709094098E-2</v>
      </c>
      <c r="Q62" s="538">
        <v>614.81551841364524</v>
      </c>
      <c r="S62" s="556" t="s">
        <v>100</v>
      </c>
      <c r="T62" s="208" t="s">
        <v>229</v>
      </c>
      <c r="AB62" s="320"/>
      <c r="AC62" s="551" t="s">
        <v>226</v>
      </c>
      <c r="AD62" s="135">
        <f t="shared" si="152"/>
        <v>0</v>
      </c>
      <c r="AE62" s="135">
        <f t="shared" si="145"/>
        <v>15.985763507403668</v>
      </c>
      <c r="AF62" s="135">
        <f t="shared" si="146"/>
        <v>15.985763507403668</v>
      </c>
      <c r="AG62" s="135">
        <f t="shared" si="147"/>
        <v>15.985763507403668</v>
      </c>
      <c r="AH62" s="135">
        <f t="shared" si="148"/>
        <v>15.985763507403668</v>
      </c>
      <c r="AI62" s="135">
        <f t="shared" si="149"/>
        <v>15.985763507403668</v>
      </c>
      <c r="AJ62" s="135">
        <f t="shared" si="150"/>
        <v>0</v>
      </c>
      <c r="AM62" s="556" t="s">
        <v>100</v>
      </c>
      <c r="AW62" s="556" t="s">
        <v>100</v>
      </c>
      <c r="AX62" s="551" t="s">
        <v>226</v>
      </c>
      <c r="AY62" s="135">
        <f t="shared" si="151"/>
        <v>0</v>
      </c>
      <c r="AZ62" s="135">
        <f t="shared" si="151"/>
        <v>1.9982204384254585</v>
      </c>
      <c r="BA62" s="135">
        <f t="shared" si="151"/>
        <v>1.9982204384254585</v>
      </c>
      <c r="BB62" s="135">
        <f t="shared" si="151"/>
        <v>1.9982204384254585</v>
      </c>
      <c r="BC62" s="135">
        <f t="shared" si="151"/>
        <v>1.9982204384254585</v>
      </c>
      <c r="BD62" s="135">
        <f t="shared" si="151"/>
        <v>1.9982204384254585</v>
      </c>
      <c r="BE62" s="135">
        <f t="shared" si="151"/>
        <v>0</v>
      </c>
    </row>
    <row r="63" spans="1:58">
      <c r="A63" s="134" t="s">
        <v>230</v>
      </c>
      <c r="B63" s="135"/>
      <c r="C63" s="135"/>
      <c r="D63" s="135">
        <v>0</v>
      </c>
      <c r="E63" s="135">
        <v>0</v>
      </c>
      <c r="F63" s="135">
        <v>0</v>
      </c>
      <c r="G63" s="135">
        <v>0</v>
      </c>
      <c r="H63" s="135">
        <v>0</v>
      </c>
      <c r="K63" s="6" t="s">
        <v>227</v>
      </c>
      <c r="L63" s="547" t="s">
        <v>231</v>
      </c>
      <c r="M63" s="189">
        <v>1</v>
      </c>
      <c r="N63" s="535">
        <v>0.13354150333886616</v>
      </c>
      <c r="O63" s="536">
        <v>4471.3855884628747</v>
      </c>
      <c r="P63" s="537">
        <v>1.669268791735827E-2</v>
      </c>
      <c r="Q63" s="538">
        <v>558.92319855785934</v>
      </c>
      <c r="S63" s="556" t="s">
        <v>100</v>
      </c>
      <c r="T63" s="481">
        <v>2</v>
      </c>
      <c r="U63" s="482" t="s">
        <v>232</v>
      </c>
      <c r="V63" s="482"/>
      <c r="W63" s="449"/>
      <c r="X63" s="449"/>
      <c r="Y63" t="s">
        <v>233</v>
      </c>
      <c r="AB63" s="320"/>
      <c r="AC63" s="551" t="s">
        <v>230</v>
      </c>
      <c r="AD63" s="135">
        <f t="shared" si="152"/>
        <v>0</v>
      </c>
      <c r="AE63" s="135">
        <f t="shared" si="145"/>
        <v>0</v>
      </c>
      <c r="AF63" s="135">
        <f t="shared" si="146"/>
        <v>0</v>
      </c>
      <c r="AG63" s="135">
        <f t="shared" si="147"/>
        <v>0</v>
      </c>
      <c r="AH63" s="135">
        <f t="shared" si="148"/>
        <v>0</v>
      </c>
      <c r="AI63" s="135">
        <f t="shared" si="149"/>
        <v>0</v>
      </c>
      <c r="AJ63" s="135">
        <f t="shared" si="150"/>
        <v>0</v>
      </c>
      <c r="AM63" s="556" t="s">
        <v>100</v>
      </c>
      <c r="AW63" s="556" t="s">
        <v>100</v>
      </c>
      <c r="AX63" s="551" t="s">
        <v>230</v>
      </c>
      <c r="AY63" s="135">
        <f t="shared" si="151"/>
        <v>0</v>
      </c>
      <c r="AZ63" s="135">
        <f t="shared" si="151"/>
        <v>0</v>
      </c>
      <c r="BA63" s="135">
        <f t="shared" si="151"/>
        <v>0</v>
      </c>
      <c r="BB63" s="135">
        <f t="shared" si="151"/>
        <v>0</v>
      </c>
      <c r="BC63" s="135">
        <f t="shared" si="151"/>
        <v>0</v>
      </c>
      <c r="BD63" s="135">
        <f t="shared" si="151"/>
        <v>0</v>
      </c>
      <c r="BE63" s="135">
        <f t="shared" si="151"/>
        <v>0</v>
      </c>
    </row>
    <row r="64" spans="1:58">
      <c r="A64" s="134" t="s">
        <v>234</v>
      </c>
      <c r="B64" s="135"/>
      <c r="C64" s="135"/>
      <c r="D64" s="135"/>
      <c r="E64" s="135">
        <v>0</v>
      </c>
      <c r="F64" s="135">
        <v>0</v>
      </c>
      <c r="G64" s="135">
        <v>0</v>
      </c>
      <c r="H64" s="135">
        <v>0</v>
      </c>
      <c r="I64" s="136">
        <v>0</v>
      </c>
      <c r="K64" s="6" t="s">
        <v>227</v>
      </c>
      <c r="L64" s="547" t="s">
        <v>235</v>
      </c>
      <c r="M64" s="189">
        <v>8</v>
      </c>
      <c r="N64" s="535">
        <v>1.0683320267109293E-2</v>
      </c>
      <c r="O64" s="536">
        <v>357.71084707702994</v>
      </c>
      <c r="P64" s="537">
        <v>1.3354150333886616E-3</v>
      </c>
      <c r="Q64" s="538">
        <v>44.713855884628742</v>
      </c>
      <c r="S64" s="556" t="s">
        <v>100</v>
      </c>
      <c r="T64" s="481">
        <v>1</v>
      </c>
      <c r="U64" s="483" t="s">
        <v>236</v>
      </c>
      <c r="V64" s="483"/>
      <c r="W64" s="457"/>
      <c r="X64" s="457"/>
      <c r="Y64" t="s">
        <v>237</v>
      </c>
      <c r="AB64" s="320"/>
      <c r="AC64" s="551" t="s">
        <v>234</v>
      </c>
      <c r="AD64" s="135">
        <f t="shared" si="152"/>
        <v>0</v>
      </c>
      <c r="AE64" s="135">
        <f t="shared" si="145"/>
        <v>0</v>
      </c>
      <c r="AF64" s="135">
        <f t="shared" si="146"/>
        <v>0</v>
      </c>
      <c r="AG64" s="135">
        <f t="shared" si="147"/>
        <v>0</v>
      </c>
      <c r="AH64" s="135">
        <f t="shared" si="148"/>
        <v>0</v>
      </c>
      <c r="AI64" s="135">
        <f t="shared" si="149"/>
        <v>0</v>
      </c>
      <c r="AJ64" s="135">
        <f t="shared" si="150"/>
        <v>0</v>
      </c>
      <c r="AK64" s="135">
        <f t="shared" ref="AK64:AK65" si="153">I64/$I$2*$AU$2</f>
        <v>0</v>
      </c>
      <c r="AL64" s="527"/>
      <c r="AM64" s="556" t="s">
        <v>100</v>
      </c>
      <c r="AW64" s="556" t="s">
        <v>100</v>
      </c>
      <c r="AX64" s="551" t="s">
        <v>234</v>
      </c>
      <c r="AY64" s="135">
        <f t="shared" si="151"/>
        <v>0</v>
      </c>
      <c r="AZ64" s="135">
        <f t="shared" si="151"/>
        <v>0</v>
      </c>
      <c r="BA64" s="135">
        <f t="shared" si="151"/>
        <v>0</v>
      </c>
      <c r="BB64" s="135">
        <f t="shared" si="151"/>
        <v>0</v>
      </c>
      <c r="BC64" s="135">
        <f t="shared" si="151"/>
        <v>0</v>
      </c>
      <c r="BD64" s="135">
        <f t="shared" si="151"/>
        <v>0</v>
      </c>
      <c r="BE64" s="135">
        <f t="shared" si="151"/>
        <v>0</v>
      </c>
      <c r="BF64" s="135">
        <f>AK64/$AV$7</f>
        <v>0</v>
      </c>
    </row>
    <row r="65" spans="1:59" ht="15" thickBot="1">
      <c r="A65" s="137" t="s">
        <v>238</v>
      </c>
      <c r="B65" s="53"/>
      <c r="C65" s="53"/>
      <c r="D65" s="53"/>
      <c r="E65" s="53"/>
      <c r="F65" s="53">
        <v>0</v>
      </c>
      <c r="G65" s="53">
        <v>0</v>
      </c>
      <c r="H65" s="53">
        <v>0</v>
      </c>
      <c r="I65" s="136">
        <v>0</v>
      </c>
      <c r="J65" s="136">
        <v>0</v>
      </c>
      <c r="K65" t="s">
        <v>239</v>
      </c>
      <c r="N65" s="89" t="s">
        <v>240</v>
      </c>
      <c r="S65" s="556" t="s">
        <v>100</v>
      </c>
      <c r="T65" s="481">
        <v>1</v>
      </c>
      <c r="U65" s="484" t="s">
        <v>241</v>
      </c>
      <c r="V65" s="484"/>
      <c r="W65" s="459"/>
      <c r="X65" s="459"/>
      <c r="Y65" t="s">
        <v>237</v>
      </c>
      <c r="AB65" s="320"/>
      <c r="AC65" s="552" t="s">
        <v>238</v>
      </c>
      <c r="AD65" s="53">
        <f t="shared" si="152"/>
        <v>0</v>
      </c>
      <c r="AE65" s="53">
        <f t="shared" si="145"/>
        <v>0</v>
      </c>
      <c r="AF65" s="53">
        <f t="shared" si="146"/>
        <v>0</v>
      </c>
      <c r="AG65" s="53">
        <f t="shared" si="147"/>
        <v>0</v>
      </c>
      <c r="AH65" s="53">
        <f t="shared" si="148"/>
        <v>0</v>
      </c>
      <c r="AI65" s="53">
        <f t="shared" si="149"/>
        <v>0</v>
      </c>
      <c r="AJ65" s="53">
        <f t="shared" si="150"/>
        <v>0</v>
      </c>
      <c r="AK65" s="135">
        <f t="shared" si="153"/>
        <v>0</v>
      </c>
      <c r="AL65" s="135">
        <f>J65/$I$2*$AU$2</f>
        <v>0</v>
      </c>
      <c r="AM65" s="556" t="s">
        <v>100</v>
      </c>
      <c r="AW65" s="556" t="s">
        <v>100</v>
      </c>
      <c r="AX65" s="552" t="s">
        <v>238</v>
      </c>
      <c r="AY65" s="53">
        <f t="shared" si="151"/>
        <v>0</v>
      </c>
      <c r="AZ65" s="53">
        <f t="shared" si="151"/>
        <v>0</v>
      </c>
      <c r="BA65" s="53">
        <f t="shared" si="151"/>
        <v>0</v>
      </c>
      <c r="BB65" s="53">
        <f t="shared" si="151"/>
        <v>0</v>
      </c>
      <c r="BC65" s="53">
        <f t="shared" si="151"/>
        <v>0</v>
      </c>
      <c r="BD65" s="53">
        <f t="shared" si="151"/>
        <v>0</v>
      </c>
      <c r="BE65" s="53">
        <f t="shared" si="151"/>
        <v>0</v>
      </c>
      <c r="BF65" s="135">
        <f>AK65/$AV$7</f>
        <v>0</v>
      </c>
      <c r="BG65" s="135">
        <f>AL65/$AV$7</f>
        <v>0</v>
      </c>
    </row>
    <row r="66" spans="1:59" ht="15" thickBot="1">
      <c r="A66" s="130" t="s">
        <v>153</v>
      </c>
      <c r="B66" s="41">
        <v>0</v>
      </c>
      <c r="C66" s="41">
        <v>15.985763507403666</v>
      </c>
      <c r="D66" s="41">
        <v>15.985763507403666</v>
      </c>
      <c r="E66" s="41">
        <v>15.985763507403666</v>
      </c>
      <c r="F66" s="41">
        <v>15.985763507403666</v>
      </c>
      <c r="G66" s="41">
        <v>15.985763507403666</v>
      </c>
      <c r="H66" s="138">
        <v>0</v>
      </c>
      <c r="S66" s="556" t="s">
        <v>100</v>
      </c>
      <c r="T66" s="480">
        <f>T12</f>
        <v>0</v>
      </c>
      <c r="U66" s="460" t="str">
        <f>N52</f>
        <v>RMB</v>
      </c>
      <c r="V66" s="485" t="s">
        <v>242</v>
      </c>
      <c r="W66" s="440"/>
      <c r="X66" s="440"/>
      <c r="Y66" s="440"/>
      <c r="AB66" s="320"/>
      <c r="AC66" s="549" t="s">
        <v>153</v>
      </c>
      <c r="AD66" s="41">
        <f t="shared" si="152"/>
        <v>0</v>
      </c>
      <c r="AE66" s="41">
        <f t="shared" si="145"/>
        <v>15.985763507403668</v>
      </c>
      <c r="AF66" s="41">
        <f t="shared" si="146"/>
        <v>15.985763507403668</v>
      </c>
      <c r="AG66" s="41">
        <f t="shared" si="147"/>
        <v>15.985763507403668</v>
      </c>
      <c r="AH66" s="41">
        <f t="shared" si="148"/>
        <v>15.985763507403668</v>
      </c>
      <c r="AI66" s="41">
        <f t="shared" si="149"/>
        <v>15.985763507403668</v>
      </c>
      <c r="AJ66" s="138">
        <f t="shared" si="150"/>
        <v>0</v>
      </c>
      <c r="AM66" s="556" t="s">
        <v>100</v>
      </c>
      <c r="AW66" s="556" t="s">
        <v>100</v>
      </c>
      <c r="AX66" s="549" t="s">
        <v>153</v>
      </c>
      <c r="AY66" s="41">
        <f t="shared" si="151"/>
        <v>0</v>
      </c>
      <c r="AZ66" s="41">
        <f t="shared" si="151"/>
        <v>1.9982204384254585</v>
      </c>
      <c r="BA66" s="41">
        <f t="shared" si="151"/>
        <v>1.9982204384254585</v>
      </c>
      <c r="BB66" s="41">
        <f t="shared" si="151"/>
        <v>1.9982204384254585</v>
      </c>
      <c r="BC66" s="41">
        <f t="shared" si="151"/>
        <v>1.9982204384254585</v>
      </c>
      <c r="BD66" s="41">
        <f t="shared" si="151"/>
        <v>1.9982204384254585</v>
      </c>
      <c r="BE66" s="138">
        <f t="shared" si="151"/>
        <v>0</v>
      </c>
    </row>
    <row r="67" spans="1:59" ht="15" thickBot="1">
      <c r="A67" s="45"/>
      <c r="B67" s="46"/>
      <c r="C67" s="46"/>
      <c r="D67" s="46"/>
      <c r="E67" s="46"/>
      <c r="F67" s="46"/>
      <c r="G67" s="46"/>
      <c r="H67" s="46"/>
      <c r="M67" s="284" t="s">
        <v>243</v>
      </c>
      <c r="N67" s="107" t="s">
        <v>27</v>
      </c>
      <c r="O67" t="s">
        <v>244</v>
      </c>
      <c r="S67" s="556" t="s">
        <v>100</v>
      </c>
      <c r="T67" s="440"/>
      <c r="U67" s="440"/>
      <c r="V67" s="440"/>
      <c r="W67" s="477" t="s">
        <v>243</v>
      </c>
      <c r="X67" s="494" t="str">
        <f>N67</f>
        <v>RMB</v>
      </c>
      <c r="Y67" s="440"/>
      <c r="Z67" s="440"/>
      <c r="AA67" s="440"/>
      <c r="AB67" s="320"/>
      <c r="AC67" s="45"/>
      <c r="AD67" s="46"/>
      <c r="AE67" s="46"/>
      <c r="AF67" s="46"/>
      <c r="AG67" s="46"/>
      <c r="AH67" s="46"/>
      <c r="AI67" s="46"/>
      <c r="AJ67" s="46"/>
      <c r="AM67" s="556" t="s">
        <v>100</v>
      </c>
      <c r="AW67" s="556" t="s">
        <v>100</v>
      </c>
      <c r="AX67" s="45"/>
      <c r="AY67" s="46"/>
      <c r="AZ67" s="46"/>
      <c r="BA67" s="46"/>
      <c r="BB67" s="46"/>
      <c r="BC67" s="46"/>
      <c r="BD67" s="46"/>
      <c r="BE67" s="46"/>
    </row>
    <row r="68" spans="1:59" ht="15" thickBot="1">
      <c r="A68" s="119"/>
      <c r="B68" s="2">
        <v>2025</v>
      </c>
      <c r="C68" s="3">
        <v>2026</v>
      </c>
      <c r="D68" s="3">
        <v>2027</v>
      </c>
      <c r="E68" s="3">
        <v>2028</v>
      </c>
      <c r="F68" s="3">
        <v>2029</v>
      </c>
      <c r="G68" s="3">
        <v>2030</v>
      </c>
      <c r="H68" s="4">
        <v>2031</v>
      </c>
      <c r="J68" s="503"/>
      <c r="K68" s="503"/>
      <c r="L68" s="503"/>
      <c r="M68" s="503"/>
      <c r="N68" s="504" t="s">
        <v>245</v>
      </c>
      <c r="O68" s="503"/>
      <c r="P68" s="503"/>
      <c r="Q68" s="503"/>
      <c r="S68" s="556" t="s">
        <v>100</v>
      </c>
      <c r="T68" s="440"/>
      <c r="U68" s="440"/>
      <c r="V68" s="440"/>
      <c r="W68" s="440"/>
      <c r="X68" s="440" t="s">
        <v>245</v>
      </c>
      <c r="Y68" s="440"/>
      <c r="Z68" s="440"/>
      <c r="AA68" s="440"/>
      <c r="AB68" s="320"/>
      <c r="AC68" s="119"/>
      <c r="AD68" s="2">
        <v>2023</v>
      </c>
      <c r="AE68" s="3">
        <v>2024</v>
      </c>
      <c r="AF68" s="3">
        <v>2025</v>
      </c>
      <c r="AG68" s="3">
        <v>2026</v>
      </c>
      <c r="AH68" s="3">
        <v>2027</v>
      </c>
      <c r="AI68" s="3">
        <v>2028</v>
      </c>
      <c r="AJ68" s="4">
        <v>2029</v>
      </c>
      <c r="AM68" s="556" t="s">
        <v>100</v>
      </c>
      <c r="AW68" s="556" t="s">
        <v>100</v>
      </c>
      <c r="AX68" s="119"/>
      <c r="AY68" s="2">
        <v>2023</v>
      </c>
      <c r="AZ68" s="3">
        <v>2024</v>
      </c>
      <c r="BA68" s="3">
        <v>2025</v>
      </c>
      <c r="BB68" s="3">
        <v>2026</v>
      </c>
      <c r="BC68" s="3">
        <v>2027</v>
      </c>
      <c r="BD68" s="3">
        <v>2028</v>
      </c>
      <c r="BE68" s="4">
        <v>2029</v>
      </c>
    </row>
    <row r="69" spans="1:59">
      <c r="A69" s="47" t="s">
        <v>246</v>
      </c>
      <c r="B69" s="64">
        <v>0</v>
      </c>
      <c r="C69" s="48">
        <v>33.619634754301636</v>
      </c>
      <c r="D69" s="48">
        <v>33.619634754301636</v>
      </c>
      <c r="E69" s="48">
        <v>33.619634754301636</v>
      </c>
      <c r="F69" s="48">
        <v>33.619634754301636</v>
      </c>
      <c r="G69" s="48">
        <v>33.619634754301636</v>
      </c>
      <c r="H69" s="49">
        <v>0</v>
      </c>
      <c r="J69" s="503"/>
      <c r="K69" s="503"/>
      <c r="L69" s="505" t="s">
        <v>247</v>
      </c>
      <c r="M69" s="505" t="s">
        <v>142</v>
      </c>
      <c r="N69" s="506" t="s">
        <v>248</v>
      </c>
      <c r="O69" s="503" t="s">
        <v>73</v>
      </c>
      <c r="P69" s="507" t="s">
        <v>249</v>
      </c>
      <c r="Q69" s="507" t="s">
        <v>250</v>
      </c>
      <c r="S69" s="556" t="s">
        <v>100</v>
      </c>
      <c r="T69" s="440"/>
      <c r="U69" s="440"/>
      <c r="V69" s="441" t="s">
        <v>247</v>
      </c>
      <c r="W69" s="442" t="s">
        <v>142</v>
      </c>
      <c r="X69" s="442" t="s">
        <v>248</v>
      </c>
      <c r="Y69" s="442" t="s">
        <v>73</v>
      </c>
      <c r="Z69" s="442" t="s">
        <v>249</v>
      </c>
      <c r="AA69" s="442" t="s">
        <v>250</v>
      </c>
      <c r="AB69" s="320"/>
      <c r="AC69" s="47" t="s">
        <v>246</v>
      </c>
      <c r="AD69" s="64">
        <f t="shared" ref="AD69:AD73" si="154">+AE69/AE$2*AD$2</f>
        <v>0</v>
      </c>
      <c r="AE69" s="48">
        <f t="shared" ref="AE69:AE73" si="155">C69/C$2*AE$2</f>
        <v>33.619634754301636</v>
      </c>
      <c r="AF69" s="48">
        <f t="shared" ref="AF69:AF73" si="156">D69/D$2*AF$2</f>
        <v>33.619634754301636</v>
      </c>
      <c r="AG69" s="48">
        <f t="shared" ref="AG69:AG73" si="157">E69/E$2*AG$2</f>
        <v>33.619634754301636</v>
      </c>
      <c r="AH69" s="48">
        <f t="shared" ref="AH69:AH73" si="158">F69/F$2*AH$2</f>
        <v>33.619634754301636</v>
      </c>
      <c r="AI69" s="48">
        <f t="shared" ref="AI69:AJ69" si="159">+AH69/AH$2*AI$2</f>
        <v>33.619634754301636</v>
      </c>
      <c r="AJ69" s="49">
        <f t="shared" si="159"/>
        <v>0</v>
      </c>
      <c r="AM69" s="556" t="s">
        <v>100</v>
      </c>
      <c r="AW69" s="556" t="s">
        <v>100</v>
      </c>
      <c r="AX69" s="47" t="s">
        <v>246</v>
      </c>
      <c r="AY69" s="64">
        <f t="shared" ref="AY69:BE75" si="160">AD69/$AV$7</f>
        <v>0</v>
      </c>
      <c r="AZ69" s="48">
        <f t="shared" si="160"/>
        <v>4.2024543442877045</v>
      </c>
      <c r="BA69" s="48">
        <f t="shared" si="160"/>
        <v>4.2024543442877045</v>
      </c>
      <c r="BB69" s="48">
        <f t="shared" si="160"/>
        <v>4.2024543442877045</v>
      </c>
      <c r="BC69" s="48">
        <f t="shared" si="160"/>
        <v>4.2024543442877045</v>
      </c>
      <c r="BD69" s="48">
        <f t="shared" si="160"/>
        <v>4.2024543442877045</v>
      </c>
      <c r="BE69" s="49">
        <f t="shared" si="160"/>
        <v>0</v>
      </c>
    </row>
    <row r="70" spans="1:59">
      <c r="A70" s="16" t="s">
        <v>251</v>
      </c>
      <c r="B70" s="102">
        <v>0</v>
      </c>
      <c r="C70" s="103">
        <v>-109.57260528323992</v>
      </c>
      <c r="D70" s="103">
        <v>-109.57260528323992</v>
      </c>
      <c r="E70" s="103">
        <v>-109.57260528323992</v>
      </c>
      <c r="F70" s="103">
        <v>-109.57260528323992</v>
      </c>
      <c r="G70" s="103">
        <v>-109.57260528323992</v>
      </c>
      <c r="H70" s="104">
        <v>0</v>
      </c>
      <c r="J70" s="508" t="s">
        <v>252</v>
      </c>
      <c r="K70" s="505" t="s">
        <v>253</v>
      </c>
      <c r="L70" s="509">
        <v>9.6070421201734049E-2</v>
      </c>
      <c r="M70" s="509">
        <v>1.792722327567263E-2</v>
      </c>
      <c r="N70" s="509">
        <v>0.2001171007603573</v>
      </c>
      <c r="O70" s="510">
        <v>54.018882760148216</v>
      </c>
      <c r="P70" s="511">
        <v>0.43034531259814596</v>
      </c>
      <c r="Q70" s="503"/>
      <c r="S70" s="556" t="s">
        <v>100</v>
      </c>
      <c r="T70" s="440" t="s">
        <v>252</v>
      </c>
      <c r="U70" s="488" t="str">
        <f>K70</f>
        <v>Frankfurt</v>
      </c>
      <c r="V70" s="447">
        <f>L70</f>
        <v>9.6070421201734049E-2</v>
      </c>
      <c r="W70" s="447">
        <f>M70</f>
        <v>1.792722327567263E-2</v>
      </c>
      <c r="X70" s="455">
        <f>N70*T63</f>
        <v>0.40023420152071459</v>
      </c>
      <c r="Y70" s="448">
        <f>O70*T63</f>
        <v>108.03776552029643</v>
      </c>
      <c r="Z70" s="444">
        <f>(X70-(V70+W70))/X70</f>
        <v>0.7151726562990729</v>
      </c>
      <c r="AA70" s="440"/>
      <c r="AB70" s="320"/>
      <c r="AC70" s="16" t="s">
        <v>251</v>
      </c>
      <c r="AD70" s="102">
        <f t="shared" si="154"/>
        <v>0</v>
      </c>
      <c r="AE70" s="103">
        <f t="shared" si="155"/>
        <v>-109.57260528323992</v>
      </c>
      <c r="AF70" s="103">
        <f t="shared" si="156"/>
        <v>-109.57260528323992</v>
      </c>
      <c r="AG70" s="103">
        <f t="shared" si="157"/>
        <v>-109.57260528323992</v>
      </c>
      <c r="AH70" s="103">
        <f t="shared" si="158"/>
        <v>-109.57260528323992</v>
      </c>
      <c r="AI70" s="103">
        <f t="shared" ref="AI70:AJ70" si="161">+AH70/AH$2*AI$2</f>
        <v>-109.57260528323992</v>
      </c>
      <c r="AJ70" s="104">
        <f t="shared" si="161"/>
        <v>0</v>
      </c>
      <c r="AM70" s="556" t="s">
        <v>100</v>
      </c>
      <c r="AW70" s="556" t="s">
        <v>100</v>
      </c>
      <c r="AX70" s="16" t="s">
        <v>251</v>
      </c>
      <c r="AY70" s="102">
        <f t="shared" si="160"/>
        <v>0</v>
      </c>
      <c r="AZ70" s="103">
        <f t="shared" si="160"/>
        <v>-13.69657566040499</v>
      </c>
      <c r="BA70" s="103">
        <f t="shared" si="160"/>
        <v>-13.69657566040499</v>
      </c>
      <c r="BB70" s="103">
        <f t="shared" si="160"/>
        <v>-13.69657566040499</v>
      </c>
      <c r="BC70" s="103">
        <f t="shared" si="160"/>
        <v>-13.69657566040499</v>
      </c>
      <c r="BD70" s="103">
        <f t="shared" si="160"/>
        <v>-13.69657566040499</v>
      </c>
      <c r="BE70" s="104">
        <f t="shared" si="160"/>
        <v>0</v>
      </c>
    </row>
    <row r="71" spans="1:59">
      <c r="A71" s="16" t="s">
        <v>254</v>
      </c>
      <c r="B71" s="139">
        <v>0</v>
      </c>
      <c r="C71" s="103">
        <v>-41.626116996048502</v>
      </c>
      <c r="D71" s="103">
        <v>-41.626116996048502</v>
      </c>
      <c r="E71" s="103">
        <v>-41.626116996048502</v>
      </c>
      <c r="F71" s="103">
        <v>-41.626116996048502</v>
      </c>
      <c r="G71" s="103">
        <v>-41.626116996048502</v>
      </c>
      <c r="H71" s="140">
        <v>0</v>
      </c>
      <c r="J71" s="508" t="s">
        <v>255</v>
      </c>
      <c r="K71" s="505" t="s">
        <v>49</v>
      </c>
      <c r="L71" s="509">
        <v>0</v>
      </c>
      <c r="M71" s="509">
        <v>0</v>
      </c>
      <c r="N71" s="509">
        <v>0</v>
      </c>
      <c r="O71" s="503"/>
      <c r="P71" s="511" t="s">
        <v>183</v>
      </c>
      <c r="Q71" s="509">
        <v>0</v>
      </c>
      <c r="S71" s="556" t="s">
        <v>100</v>
      </c>
      <c r="T71" s="440" t="s">
        <v>255</v>
      </c>
      <c r="U71" s="489" t="str">
        <f>K71</f>
        <v>Tianjin</v>
      </c>
      <c r="V71" s="454">
        <f>L71+IF(K70=K71,0,X70-N70)</f>
        <v>0.2001171007603573</v>
      </c>
      <c r="W71" s="447">
        <f t="shared" ref="W71:W72" si="162">M71</f>
        <v>0</v>
      </c>
      <c r="X71" s="458">
        <f>N71*T64</f>
        <v>0</v>
      </c>
      <c r="Y71" s="443" t="s">
        <v>256</v>
      </c>
      <c r="Z71" s="444" t="e">
        <f t="shared" ref="Z71:Z72" si="163">(X71-(V71+W71))/X71</f>
        <v>#DIV/0!</v>
      </c>
      <c r="AA71" s="450">
        <f>X71-W71-V71</f>
        <v>-0.2001171007603573</v>
      </c>
      <c r="AB71" s="320"/>
      <c r="AC71" s="16" t="s">
        <v>254</v>
      </c>
      <c r="AD71" s="139">
        <f t="shared" si="154"/>
        <v>0</v>
      </c>
      <c r="AE71" s="103">
        <f t="shared" si="155"/>
        <v>-41.626116996048502</v>
      </c>
      <c r="AF71" s="103">
        <f t="shared" si="156"/>
        <v>-41.626116996048502</v>
      </c>
      <c r="AG71" s="103">
        <f t="shared" si="157"/>
        <v>-41.626116996048502</v>
      </c>
      <c r="AH71" s="103">
        <f t="shared" si="158"/>
        <v>-41.626116996048502</v>
      </c>
      <c r="AI71" s="103">
        <f t="shared" ref="AI71:AJ71" si="164">+AH71/AH$2*AI$2</f>
        <v>-41.626116996048502</v>
      </c>
      <c r="AJ71" s="140">
        <f t="shared" si="164"/>
        <v>0</v>
      </c>
      <c r="AM71" s="556" t="s">
        <v>100</v>
      </c>
      <c r="AW71" s="556" t="s">
        <v>100</v>
      </c>
      <c r="AX71" s="16" t="s">
        <v>254</v>
      </c>
      <c r="AY71" s="139">
        <f t="shared" si="160"/>
        <v>0</v>
      </c>
      <c r="AZ71" s="103">
        <f t="shared" si="160"/>
        <v>-5.2032646245060628</v>
      </c>
      <c r="BA71" s="103">
        <f t="shared" si="160"/>
        <v>-5.2032646245060628</v>
      </c>
      <c r="BB71" s="103">
        <f t="shared" si="160"/>
        <v>-5.2032646245060628</v>
      </c>
      <c r="BC71" s="103">
        <f t="shared" si="160"/>
        <v>-5.2032646245060628</v>
      </c>
      <c r="BD71" s="103">
        <f t="shared" si="160"/>
        <v>-5.2032646245060628</v>
      </c>
      <c r="BE71" s="140">
        <f t="shared" si="160"/>
        <v>0</v>
      </c>
    </row>
    <row r="72" spans="1:59">
      <c r="A72" s="16" t="s">
        <v>257</v>
      </c>
      <c r="B72" s="139">
        <v>0</v>
      </c>
      <c r="C72" s="103">
        <v>-4.1293066119082829</v>
      </c>
      <c r="D72" s="103">
        <v>-4.1293066119082829</v>
      </c>
      <c r="E72" s="103">
        <v>-4.1293066119082829</v>
      </c>
      <c r="F72" s="103">
        <v>-4.1293066119082829</v>
      </c>
      <c r="G72" s="103">
        <v>-4.1293066119082829</v>
      </c>
      <c r="H72" s="140">
        <v>0</v>
      </c>
      <c r="J72" s="508" t="s">
        <v>258</v>
      </c>
      <c r="K72" s="505" t="s">
        <v>49</v>
      </c>
      <c r="L72" s="509">
        <v>0.68253274808306363</v>
      </c>
      <c r="M72" s="509">
        <v>0.17969380222741232</v>
      </c>
      <c r="N72" s="509">
        <v>1.333133364279419</v>
      </c>
      <c r="O72" s="503"/>
      <c r="P72" s="511">
        <v>0.3532330872414074</v>
      </c>
      <c r="Q72" s="509">
        <v>0.47090681396894296</v>
      </c>
      <c r="S72" s="556" t="s">
        <v>100</v>
      </c>
      <c r="T72" s="440" t="s">
        <v>258</v>
      </c>
      <c r="U72" s="489" t="str">
        <f>K72</f>
        <v>Tianjin</v>
      </c>
      <c r="V72" s="454">
        <f>L72+IF(K71=K72,IF(K72=K70,0,X70-N70),X71-N71)</f>
        <v>0.8826498488434209</v>
      </c>
      <c r="W72" s="447">
        <f t="shared" si="162"/>
        <v>0.17969380222741232</v>
      </c>
      <c r="X72" s="454">
        <f>W75</f>
        <v>0</v>
      </c>
      <c r="Y72" s="443" t="s">
        <v>256</v>
      </c>
      <c r="Z72" s="444" t="e">
        <f t="shared" si="163"/>
        <v>#DIV/0!</v>
      </c>
      <c r="AA72" s="450">
        <f>X72-W72-V72</f>
        <v>-1.0623436510708333</v>
      </c>
      <c r="AB72" s="320"/>
      <c r="AC72" s="16" t="s">
        <v>257</v>
      </c>
      <c r="AD72" s="139">
        <f t="shared" si="154"/>
        <v>0</v>
      </c>
      <c r="AE72" s="103">
        <f t="shared" si="155"/>
        <v>-4.1293066119082829</v>
      </c>
      <c r="AF72" s="103">
        <f t="shared" si="156"/>
        <v>-4.1293066119082829</v>
      </c>
      <c r="AG72" s="103">
        <f t="shared" si="157"/>
        <v>-4.1293066119082829</v>
      </c>
      <c r="AH72" s="103">
        <f t="shared" si="158"/>
        <v>-4.1293066119082829</v>
      </c>
      <c r="AI72" s="103">
        <f t="shared" ref="AI72:AJ72" si="165">+AH72/AH$2*AI$2</f>
        <v>-4.1293066119082829</v>
      </c>
      <c r="AJ72" s="140">
        <f t="shared" si="165"/>
        <v>0</v>
      </c>
      <c r="AM72" s="556" t="s">
        <v>100</v>
      </c>
      <c r="AW72" s="556" t="s">
        <v>100</v>
      </c>
      <c r="AX72" s="16" t="s">
        <v>257</v>
      </c>
      <c r="AY72" s="139">
        <f t="shared" si="160"/>
        <v>0</v>
      </c>
      <c r="AZ72" s="103">
        <f t="shared" si="160"/>
        <v>-0.51616332648853536</v>
      </c>
      <c r="BA72" s="103">
        <f t="shared" si="160"/>
        <v>-0.51616332648853536</v>
      </c>
      <c r="BB72" s="103">
        <f t="shared" si="160"/>
        <v>-0.51616332648853536</v>
      </c>
      <c r="BC72" s="103">
        <f t="shared" si="160"/>
        <v>-0.51616332648853536</v>
      </c>
      <c r="BD72" s="103">
        <f t="shared" si="160"/>
        <v>-0.51616332648853536</v>
      </c>
      <c r="BE72" s="140">
        <f t="shared" si="160"/>
        <v>0</v>
      </c>
    </row>
    <row r="73" spans="1:59">
      <c r="A73" s="16" t="s">
        <v>259</v>
      </c>
      <c r="B73" s="139">
        <v>0</v>
      </c>
      <c r="C73" s="103">
        <v>-35.575905776247026</v>
      </c>
      <c r="D73" s="103">
        <v>-35.575905776247026</v>
      </c>
      <c r="E73" s="103">
        <v>-35.575905776247026</v>
      </c>
      <c r="F73" s="103">
        <v>-35.575905776247026</v>
      </c>
      <c r="G73" s="103">
        <v>-35.575905776247026</v>
      </c>
      <c r="H73" s="140">
        <v>0</v>
      </c>
      <c r="J73" s="503"/>
      <c r="K73" s="503"/>
      <c r="L73" s="503"/>
      <c r="M73" s="503"/>
      <c r="N73" s="503"/>
      <c r="O73" s="503"/>
      <c r="P73" s="503"/>
      <c r="Q73" s="503"/>
      <c r="S73" s="556" t="s">
        <v>100</v>
      </c>
      <c r="T73" s="440"/>
      <c r="U73" s="440"/>
      <c r="V73" s="440"/>
      <c r="W73" s="440"/>
      <c r="X73" s="440"/>
      <c r="Y73" s="440"/>
      <c r="Z73" s="440"/>
      <c r="AA73" s="446"/>
      <c r="AB73" s="320"/>
      <c r="AC73" s="16" t="s">
        <v>259</v>
      </c>
      <c r="AD73" s="139">
        <f t="shared" si="154"/>
        <v>0</v>
      </c>
      <c r="AE73" s="103">
        <f t="shared" si="155"/>
        <v>-35.575905776247026</v>
      </c>
      <c r="AF73" s="103">
        <f t="shared" si="156"/>
        <v>-35.575905776247026</v>
      </c>
      <c r="AG73" s="103">
        <f t="shared" si="157"/>
        <v>-35.575905776247026</v>
      </c>
      <c r="AH73" s="103">
        <f t="shared" si="158"/>
        <v>-35.575905776247026</v>
      </c>
      <c r="AI73" s="103">
        <f t="shared" ref="AI73:AJ73" si="166">+AH73/AH$2*AI$2</f>
        <v>-35.575905776247026</v>
      </c>
      <c r="AJ73" s="140">
        <f t="shared" si="166"/>
        <v>0</v>
      </c>
      <c r="AM73" s="556" t="s">
        <v>100</v>
      </c>
      <c r="AW73" s="556" t="s">
        <v>100</v>
      </c>
      <c r="AX73" s="16" t="s">
        <v>259</v>
      </c>
      <c r="AY73" s="139">
        <f t="shared" si="160"/>
        <v>0</v>
      </c>
      <c r="AZ73" s="103">
        <f t="shared" si="160"/>
        <v>-4.4469882220308783</v>
      </c>
      <c r="BA73" s="103">
        <f t="shared" si="160"/>
        <v>-4.4469882220308783</v>
      </c>
      <c r="BB73" s="103">
        <f t="shared" si="160"/>
        <v>-4.4469882220308783</v>
      </c>
      <c r="BC73" s="103">
        <f t="shared" si="160"/>
        <v>-4.4469882220308783</v>
      </c>
      <c r="BD73" s="103">
        <f t="shared" si="160"/>
        <v>-4.4469882220308783</v>
      </c>
      <c r="BE73" s="140">
        <f t="shared" si="160"/>
        <v>0</v>
      </c>
    </row>
    <row r="74" spans="1:59">
      <c r="A74" s="16" t="s">
        <v>260</v>
      </c>
      <c r="B74" s="102">
        <v>0</v>
      </c>
      <c r="C74" s="103">
        <v>-157.28429991314209</v>
      </c>
      <c r="D74" s="103">
        <v>-157.28429991314209</v>
      </c>
      <c r="E74" s="103">
        <v>-157.28429991314209</v>
      </c>
      <c r="F74" s="103">
        <v>-157.28429991314209</v>
      </c>
      <c r="G74" s="103">
        <v>-157.28429991314209</v>
      </c>
      <c r="H74" s="104">
        <v>0</v>
      </c>
      <c r="J74" s="503"/>
      <c r="K74" s="503"/>
      <c r="L74" s="503" t="s">
        <v>261</v>
      </c>
      <c r="M74" s="503" t="s">
        <v>262</v>
      </c>
      <c r="N74" s="503" t="s">
        <v>263</v>
      </c>
      <c r="O74" s="503"/>
      <c r="P74" s="503" t="s">
        <v>59</v>
      </c>
      <c r="Q74" s="503"/>
      <c r="S74" s="556" t="s">
        <v>100</v>
      </c>
      <c r="T74" s="440"/>
      <c r="U74" s="440"/>
      <c r="V74" s="440" t="s">
        <v>261</v>
      </c>
      <c r="W74" s="440" t="s">
        <v>262</v>
      </c>
      <c r="X74" s="440" t="s">
        <v>263</v>
      </c>
      <c r="Y74" s="440"/>
      <c r="Z74" s="445" t="str">
        <f>P74</f>
        <v>EXW</v>
      </c>
      <c r="AA74" s="440"/>
      <c r="AB74" s="320"/>
      <c r="AC74" s="16" t="s">
        <v>260</v>
      </c>
      <c r="AD74" s="102">
        <f>+SUM(AD69:AD73)</f>
        <v>0</v>
      </c>
      <c r="AE74" s="103">
        <f t="shared" ref="AE74:AI74" si="167">+SUM(AE69:AE73)</f>
        <v>-157.28429991314209</v>
      </c>
      <c r="AF74" s="103">
        <f t="shared" si="167"/>
        <v>-157.28429991314209</v>
      </c>
      <c r="AG74" s="103">
        <f t="shared" si="167"/>
        <v>-157.28429991314209</v>
      </c>
      <c r="AH74" s="103">
        <f t="shared" si="167"/>
        <v>-157.28429991314209</v>
      </c>
      <c r="AI74" s="103">
        <f t="shared" si="167"/>
        <v>-157.28429991314209</v>
      </c>
      <c r="AJ74" s="104">
        <f t="shared" ref="AJ74" si="168">+SUM(AJ69:AJ73)</f>
        <v>0</v>
      </c>
      <c r="AM74" s="556" t="s">
        <v>100</v>
      </c>
      <c r="AW74" s="556" t="s">
        <v>100</v>
      </c>
      <c r="AX74" s="16" t="s">
        <v>260</v>
      </c>
      <c r="AY74" s="102">
        <f t="shared" si="160"/>
        <v>0</v>
      </c>
      <c r="AZ74" s="103">
        <f t="shared" si="160"/>
        <v>-19.660537489142762</v>
      </c>
      <c r="BA74" s="103">
        <f t="shared" si="160"/>
        <v>-19.660537489142762</v>
      </c>
      <c r="BB74" s="103">
        <f t="shared" si="160"/>
        <v>-19.660537489142762</v>
      </c>
      <c r="BC74" s="103">
        <f t="shared" si="160"/>
        <v>-19.660537489142762</v>
      </c>
      <c r="BD74" s="103">
        <f t="shared" si="160"/>
        <v>-19.660537489142762</v>
      </c>
      <c r="BE74" s="104">
        <f t="shared" si="160"/>
        <v>0</v>
      </c>
    </row>
    <row r="75" spans="1:59" ht="15" thickBot="1">
      <c r="A75" s="70" t="s">
        <v>174</v>
      </c>
      <c r="B75" s="71">
        <v>0</v>
      </c>
      <c r="C75" s="72">
        <v>-157.28429991314209</v>
      </c>
      <c r="D75" s="72">
        <v>0</v>
      </c>
      <c r="E75" s="72">
        <v>0</v>
      </c>
      <c r="F75" s="72">
        <v>0</v>
      </c>
      <c r="G75" s="72">
        <v>0</v>
      </c>
      <c r="H75" s="73">
        <v>157.28429991314209</v>
      </c>
      <c r="J75" s="508" t="s">
        <v>264</v>
      </c>
      <c r="K75" s="505" t="s">
        <v>265</v>
      </c>
      <c r="L75" s="509">
        <v>0</v>
      </c>
      <c r="M75" s="509">
        <v>1.333133364279419</v>
      </c>
      <c r="N75" s="509">
        <v>1.333133364279419</v>
      </c>
      <c r="O75" s="503"/>
      <c r="P75" s="511">
        <v>0</v>
      </c>
      <c r="Q75" s="509">
        <v>0</v>
      </c>
      <c r="S75" s="556" t="s">
        <v>100</v>
      </c>
      <c r="T75" s="440" t="s">
        <v>264</v>
      </c>
      <c r="U75" s="488" t="str">
        <f>K75</f>
        <v>No</v>
      </c>
      <c r="V75" s="450">
        <f>L75</f>
        <v>0</v>
      </c>
      <c r="W75" s="462">
        <f>X75*IF(K75="No",1,T65*0.95)-V75</f>
        <v>0</v>
      </c>
      <c r="X75" s="461">
        <f>T66</f>
        <v>0</v>
      </c>
      <c r="Y75" s="442" t="s">
        <v>256</v>
      </c>
      <c r="Z75" s="456" t="e">
        <f t="shared" ref="Z75" si="169">(X75-(V75+W75))/X75</f>
        <v>#DIV/0!</v>
      </c>
      <c r="AA75" s="450">
        <f>X75-W75-V75</f>
        <v>0</v>
      </c>
      <c r="AB75" s="320"/>
      <c r="AC75" s="70" t="s">
        <v>174</v>
      </c>
      <c r="AD75" s="71">
        <v>0</v>
      </c>
      <c r="AE75" s="72">
        <f>+AE74-AD74</f>
        <v>-157.28429991314209</v>
      </c>
      <c r="AF75" s="72">
        <f>+AF74-AE74</f>
        <v>0</v>
      </c>
      <c r="AG75" s="72">
        <f t="shared" ref="AG75:AI75" si="170">+AG74-AF74</f>
        <v>0</v>
      </c>
      <c r="AH75" s="72">
        <f t="shared" si="170"/>
        <v>0</v>
      </c>
      <c r="AI75" s="72">
        <f t="shared" si="170"/>
        <v>0</v>
      </c>
      <c r="AJ75" s="73">
        <f>+AJ74-AI74</f>
        <v>157.28429991314209</v>
      </c>
      <c r="AM75" s="556" t="s">
        <v>100</v>
      </c>
      <c r="AW75" s="556" t="s">
        <v>100</v>
      </c>
      <c r="AX75" s="70" t="s">
        <v>174</v>
      </c>
      <c r="AY75" s="71">
        <f t="shared" si="160"/>
        <v>0</v>
      </c>
      <c r="AZ75" s="72">
        <f t="shared" si="160"/>
        <v>-19.660537489142762</v>
      </c>
      <c r="BA75" s="72">
        <f t="shared" si="160"/>
        <v>0</v>
      </c>
      <c r="BB75" s="72">
        <f t="shared" si="160"/>
        <v>0</v>
      </c>
      <c r="BC75" s="72">
        <f t="shared" si="160"/>
        <v>0</v>
      </c>
      <c r="BD75" s="72">
        <f t="shared" si="160"/>
        <v>0</v>
      </c>
      <c r="BE75" s="73">
        <f t="shared" si="160"/>
        <v>19.660537489142762</v>
      </c>
    </row>
    <row r="76" spans="1:59" ht="6.6" customHeight="1">
      <c r="B76" s="46"/>
      <c r="C76" s="46"/>
      <c r="D76" s="46"/>
      <c r="E76" s="46"/>
      <c r="F76" s="46"/>
      <c r="G76" s="46"/>
      <c r="H76" s="46"/>
      <c r="S76" s="556" t="s">
        <v>100</v>
      </c>
      <c r="AB76" s="320"/>
      <c r="AD76" s="46"/>
      <c r="AE76" s="46"/>
      <c r="AF76" s="46"/>
      <c r="AG76" s="46"/>
      <c r="AH76" s="46"/>
      <c r="AI76" s="46"/>
      <c r="AJ76" s="46"/>
      <c r="AM76" s="556" t="s">
        <v>100</v>
      </c>
      <c r="AW76" s="556" t="s">
        <v>100</v>
      </c>
      <c r="AY76" s="46"/>
      <c r="AZ76" s="46"/>
      <c r="BA76" s="46"/>
      <c r="BB76" s="46"/>
      <c r="BC76" s="46"/>
      <c r="BD76" s="46"/>
      <c r="BE76" s="46"/>
    </row>
    <row r="77" spans="1:59">
      <c r="B77" s="141" t="e">
        <v>#DIV/0!</v>
      </c>
      <c r="C77" s="141">
        <v>-0.23596183866894202</v>
      </c>
      <c r="D77" s="141">
        <v>-0.23596183866894202</v>
      </c>
      <c r="E77" s="141">
        <v>-0.23596183866894202</v>
      </c>
      <c r="F77" s="141">
        <v>-0.23596183866894202</v>
      </c>
      <c r="G77" s="141">
        <v>-0.23596183866894202</v>
      </c>
      <c r="H77" s="141" t="e">
        <v>#DIV/0!</v>
      </c>
      <c r="L77" s="204"/>
      <c r="N77" s="204"/>
      <c r="P77" s="122"/>
      <c r="S77" s="556" t="s">
        <v>100</v>
      </c>
      <c r="AB77" s="320"/>
      <c r="AD77" s="141" t="e">
        <f t="shared" ref="AD77:AJ77" si="171">+AD74/AD8</f>
        <v>#DIV/0!</v>
      </c>
      <c r="AE77" s="141" t="e">
        <f t="shared" si="171"/>
        <v>#DIV/0!</v>
      </c>
      <c r="AF77" s="141" t="e">
        <f t="shared" si="171"/>
        <v>#DIV/0!</v>
      </c>
      <c r="AG77" s="141" t="e">
        <f t="shared" si="171"/>
        <v>#DIV/0!</v>
      </c>
      <c r="AH77" s="141" t="e">
        <f t="shared" si="171"/>
        <v>#DIV/0!</v>
      </c>
      <c r="AI77" s="141" t="e">
        <f t="shared" si="171"/>
        <v>#DIV/0!</v>
      </c>
      <c r="AJ77" s="141" t="e">
        <f t="shared" si="171"/>
        <v>#DIV/0!</v>
      </c>
      <c r="AM77" s="556" t="s">
        <v>100</v>
      </c>
      <c r="AW77" s="556" t="s">
        <v>100</v>
      </c>
      <c r="AY77" s="141" t="e">
        <f t="shared" ref="AY77:BE77" si="172">+AY74/AY8</f>
        <v>#DIV/0!</v>
      </c>
      <c r="AZ77" s="141" t="e">
        <f t="shared" si="172"/>
        <v>#DIV/0!</v>
      </c>
      <c r="BA77" s="141" t="e">
        <f t="shared" si="172"/>
        <v>#DIV/0!</v>
      </c>
      <c r="BB77" s="141" t="e">
        <f t="shared" si="172"/>
        <v>#DIV/0!</v>
      </c>
      <c r="BC77" s="141" t="e">
        <f t="shared" si="172"/>
        <v>#DIV/0!</v>
      </c>
      <c r="BD77" s="141" t="e">
        <f t="shared" si="172"/>
        <v>#DIV/0!</v>
      </c>
      <c r="BE77" s="141" t="e">
        <f t="shared" si="172"/>
        <v>#DIV/0!</v>
      </c>
    </row>
    <row r="78" spans="1:59">
      <c r="S78" s="556" t="s">
        <v>100</v>
      </c>
      <c r="T78" s="440"/>
      <c r="U78" s="440"/>
      <c r="V78" s="440"/>
      <c r="W78" s="477" t="s">
        <v>243</v>
      </c>
      <c r="X78" s="494" t="str">
        <f>Q52</f>
        <v>EUR</v>
      </c>
      <c r="Y78" s="440"/>
      <c r="Z78" s="440"/>
      <c r="AA78" s="440"/>
      <c r="AB78" s="320"/>
      <c r="AM78" s="556" t="s">
        <v>100</v>
      </c>
      <c r="AW78" s="556" t="s">
        <v>100</v>
      </c>
    </row>
    <row r="79" spans="1:59">
      <c r="S79" s="556" t="s">
        <v>100</v>
      </c>
      <c r="T79" s="440"/>
      <c r="U79" s="440"/>
      <c r="V79" s="440"/>
      <c r="W79" s="440"/>
      <c r="X79" s="440" t="s">
        <v>245</v>
      </c>
      <c r="Y79" s="440"/>
      <c r="Z79" s="440"/>
      <c r="AA79" s="440"/>
      <c r="AB79" s="320"/>
      <c r="AM79" s="556" t="s">
        <v>100</v>
      </c>
      <c r="AW79" s="556" t="s">
        <v>100</v>
      </c>
    </row>
    <row r="80" spans="1:59">
      <c r="S80" s="556" t="s">
        <v>100</v>
      </c>
      <c r="T80" s="440"/>
      <c r="U80" s="440"/>
      <c r="V80" s="441" t="s">
        <v>247</v>
      </c>
      <c r="W80" s="442" t="s">
        <v>142</v>
      </c>
      <c r="X80" s="442" t="s">
        <v>248</v>
      </c>
      <c r="Y80" s="442" t="s">
        <v>73</v>
      </c>
      <c r="Z80" s="442" t="s">
        <v>249</v>
      </c>
      <c r="AA80" s="442" t="s">
        <v>250</v>
      </c>
      <c r="AB80" s="320"/>
      <c r="AM80" s="556" t="s">
        <v>100</v>
      </c>
      <c r="AW80" s="556" t="s">
        <v>100</v>
      </c>
    </row>
    <row r="81" spans="19:49">
      <c r="S81" s="556" t="s">
        <v>100</v>
      </c>
      <c r="T81" s="440" t="s">
        <v>252</v>
      </c>
      <c r="U81" s="488" t="str">
        <f>U70</f>
        <v>Frankfurt</v>
      </c>
      <c r="V81" s="447">
        <f>V70/'RFQ Data'!$K$23</f>
        <v>1.2008802650216756E-2</v>
      </c>
      <c r="W81" s="447">
        <f>W70/'RFQ Data'!$K$23</f>
        <v>2.2409029094590787E-3</v>
      </c>
      <c r="X81" s="455">
        <f>X70/'RFQ Data'!$K$23</f>
        <v>5.0029275190089324E-2</v>
      </c>
      <c r="Y81" s="448">
        <f>Y70/'RFQ Data'!$K$23</f>
        <v>13.504720690037054</v>
      </c>
      <c r="Z81" s="444">
        <f>Z70</f>
        <v>0.7151726562990729</v>
      </c>
      <c r="AA81" s="440"/>
      <c r="AB81" s="320"/>
      <c r="AM81" s="556" t="s">
        <v>100</v>
      </c>
      <c r="AW81" s="556" t="s">
        <v>100</v>
      </c>
    </row>
    <row r="82" spans="19:49">
      <c r="S82" s="556" t="s">
        <v>100</v>
      </c>
      <c r="T82" s="440" t="s">
        <v>255</v>
      </c>
      <c r="U82" s="489" t="str">
        <f>U71</f>
        <v>Tianjin</v>
      </c>
      <c r="V82" s="452">
        <f>V71/'RFQ Data'!$K$23</f>
        <v>2.5014637595044662E-2</v>
      </c>
      <c r="W82" s="452">
        <f>W71/'RFQ Data'!$K$23</f>
        <v>0</v>
      </c>
      <c r="X82" s="452">
        <f>X71/'RFQ Data'!$K$23</f>
        <v>0</v>
      </c>
      <c r="Y82" s="443" t="s">
        <v>256</v>
      </c>
      <c r="Z82" s="444" t="e">
        <f t="shared" ref="Z82:Z83" si="173">Z71</f>
        <v>#DIV/0!</v>
      </c>
      <c r="AA82" s="451">
        <f>AA71/'RFQ Data'!$K$23</f>
        <v>-2.5014637595044662E-2</v>
      </c>
      <c r="AB82" s="320"/>
      <c r="AM82" s="556" t="s">
        <v>100</v>
      </c>
      <c r="AW82" s="556" t="s">
        <v>100</v>
      </c>
    </row>
    <row r="83" spans="19:49">
      <c r="S83" s="556" t="s">
        <v>100</v>
      </c>
      <c r="T83" s="440" t="s">
        <v>258</v>
      </c>
      <c r="U83" s="489" t="str">
        <f>U72</f>
        <v>Tianjin</v>
      </c>
      <c r="V83" s="452">
        <f>V72/'RFQ Data'!$K$23</f>
        <v>0.11033123110542761</v>
      </c>
      <c r="W83" s="452">
        <f>W72/'RFQ Data'!$K$23</f>
        <v>2.2461725278426541E-2</v>
      </c>
      <c r="X83" s="452">
        <f>X72/'RFQ Data'!$K$23</f>
        <v>0</v>
      </c>
      <c r="Y83" s="443" t="s">
        <v>256</v>
      </c>
      <c r="Z83" s="444" t="e">
        <f t="shared" si="173"/>
        <v>#DIV/0!</v>
      </c>
      <c r="AA83" s="452">
        <f>AA72/'RFQ Data'!$K$23</f>
        <v>-0.13279295638385416</v>
      </c>
      <c r="AB83" s="320"/>
      <c r="AM83" s="556" t="s">
        <v>100</v>
      </c>
      <c r="AW83" s="556" t="s">
        <v>100</v>
      </c>
    </row>
    <row r="84" spans="19:49">
      <c r="S84" s="556" t="s">
        <v>100</v>
      </c>
      <c r="T84" s="440"/>
      <c r="U84" s="440"/>
      <c r="V84" s="440"/>
      <c r="W84" s="440"/>
      <c r="X84" s="440"/>
      <c r="Y84" s="440"/>
      <c r="Z84" s="440"/>
      <c r="AA84" s="453"/>
      <c r="AB84" s="320"/>
      <c r="AM84" s="556" t="s">
        <v>100</v>
      </c>
      <c r="AW84" s="556" t="s">
        <v>100</v>
      </c>
    </row>
    <row r="85" spans="19:49">
      <c r="S85" s="556" t="s">
        <v>100</v>
      </c>
      <c r="T85" s="440"/>
      <c r="U85" s="440"/>
      <c r="V85" s="440" t="s">
        <v>261</v>
      </c>
      <c r="W85" s="440" t="s">
        <v>262</v>
      </c>
      <c r="X85" s="440" t="s">
        <v>263</v>
      </c>
      <c r="Y85" s="440"/>
      <c r="Z85" s="445" t="str">
        <f>Z74</f>
        <v>EXW</v>
      </c>
      <c r="AA85" s="453"/>
      <c r="AB85" s="320"/>
      <c r="AM85" s="556" t="s">
        <v>100</v>
      </c>
      <c r="AW85" s="556" t="s">
        <v>100</v>
      </c>
    </row>
    <row r="86" spans="19:49">
      <c r="S86" s="556" t="s">
        <v>100</v>
      </c>
      <c r="T86" s="440" t="s">
        <v>264</v>
      </c>
      <c r="U86" s="488" t="str">
        <f>U75</f>
        <v>No</v>
      </c>
      <c r="V86" s="451">
        <f>V75/'RFQ Data'!$K$23</f>
        <v>0</v>
      </c>
      <c r="W86" s="451">
        <f>W75/'RFQ Data'!$K$23</f>
        <v>0</v>
      </c>
      <c r="X86" s="451">
        <f>X75/'RFQ Data'!$K$23</f>
        <v>0</v>
      </c>
      <c r="Y86" s="442" t="s">
        <v>256</v>
      </c>
      <c r="Z86" s="444" t="e">
        <f t="shared" ref="Z86" si="174">Z75</f>
        <v>#DIV/0!</v>
      </c>
      <c r="AA86" s="451">
        <f>AA75/'RFQ Data'!$K$23</f>
        <v>0</v>
      </c>
      <c r="AB86" s="320"/>
      <c r="AM86" s="556" t="s">
        <v>100</v>
      </c>
      <c r="AW86" s="556" t="s">
        <v>100</v>
      </c>
    </row>
    <row r="87" spans="19:49">
      <c r="S87" s="556" t="s">
        <v>100</v>
      </c>
      <c r="AB87" s="320"/>
      <c r="AM87" s="556" t="s">
        <v>100</v>
      </c>
      <c r="AW87" s="556" t="s">
        <v>100</v>
      </c>
    </row>
  </sheetData>
  <conditionalFormatting sqref="V71:Y71 AA71 V82:AA82">
    <cfRule type="expression" dxfId="6" priority="3">
      <formula>$X$71=0</formula>
    </cfRule>
  </conditionalFormatting>
  <conditionalFormatting sqref="V70:AA70 Z71:Z72">
    <cfRule type="expression" dxfId="5" priority="2">
      <formula>$U$70=$U$71</formula>
    </cfRule>
  </conditionalFormatting>
  <conditionalFormatting sqref="V75:AA75 V86:AA86">
    <cfRule type="expression" dxfId="4" priority="4">
      <formula>$U$75="No"</formula>
    </cfRule>
  </conditionalFormatting>
  <conditionalFormatting sqref="V81:AA81">
    <cfRule type="expression" dxfId="3" priority="1">
      <formula>$U$70=$U$71</formula>
    </cfRule>
  </conditionalFormatting>
  <dataValidations count="1">
    <dataValidation allowBlank="1" showInputMessage="1" showErrorMessage="1" sqref="P58" xr:uid="{70FFF126-DFC6-4311-B670-6C5F851E402A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7" fitToWidth="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8789-4CA0-4CE2-96A2-0B5E530A11C0}">
  <sheetPr codeName="Feuil3">
    <pageSetUpPr fitToPage="1"/>
  </sheetPr>
  <dimension ref="A1:AG123"/>
  <sheetViews>
    <sheetView showGridLines="0" zoomScale="85" zoomScaleNormal="85" workbookViewId="0">
      <pane xSplit="1" topLeftCell="B1" activePane="topRight" state="frozen"/>
      <selection pane="topRight" sqref="A1:K117"/>
      <selection sqref="A1:L31"/>
    </sheetView>
  </sheetViews>
  <sheetFormatPr defaultColWidth="11.42578125" defaultRowHeight="14.45"/>
  <cols>
    <col min="1" max="1" width="31.5703125" customWidth="1"/>
    <col min="2" max="2" width="20.42578125" customWidth="1"/>
    <col min="3" max="3" width="12.5703125" bestFit="1" customWidth="1"/>
    <col min="8" max="9" width="13.5703125" customWidth="1"/>
    <col min="10" max="10" width="6.42578125" customWidth="1"/>
    <col min="11" max="11" width="7.5703125" customWidth="1"/>
    <col min="14" max="14" width="36" customWidth="1"/>
    <col min="15" max="15" width="11" customWidth="1"/>
    <col min="16" max="16" width="1.42578125" customWidth="1"/>
    <col min="17" max="17" width="3" customWidth="1"/>
    <col min="18" max="18" width="22.5703125" customWidth="1"/>
    <col min="19" max="19" width="14.5703125" customWidth="1"/>
  </cols>
  <sheetData>
    <row r="1" spans="1:33" ht="15" thickBot="1">
      <c r="A1" s="188" t="s">
        <v>266</v>
      </c>
      <c r="B1" s="189"/>
      <c r="J1" s="557"/>
      <c r="K1" s="561" t="s">
        <v>99</v>
      </c>
      <c r="L1" s="297" t="s">
        <v>267</v>
      </c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</row>
    <row r="2" spans="1:33" ht="15" thickBot="1">
      <c r="A2" s="190" t="s">
        <v>268</v>
      </c>
      <c r="B2" s="191">
        <v>2025</v>
      </c>
      <c r="C2" s="191">
        <v>2026</v>
      </c>
      <c r="D2" s="191">
        <v>2027</v>
      </c>
      <c r="E2" s="191">
        <v>2028</v>
      </c>
      <c r="F2" s="191">
        <v>2029</v>
      </c>
      <c r="G2" s="192">
        <v>2030</v>
      </c>
      <c r="H2" s="6" t="s">
        <v>3</v>
      </c>
      <c r="I2" s="274"/>
      <c r="J2" s="198"/>
      <c r="K2" s="308" t="s">
        <v>4</v>
      </c>
      <c r="L2" s="299"/>
    </row>
    <row r="3" spans="1:33" ht="15" thickBot="1">
      <c r="A3" s="193" t="s">
        <v>269</v>
      </c>
      <c r="B3" s="95">
        <v>1.333133364279419</v>
      </c>
      <c r="C3" s="95">
        <v>1.333133364279419</v>
      </c>
      <c r="D3" s="95">
        <v>1.333133364279419</v>
      </c>
      <c r="E3" s="95">
        <v>1.333133364279419</v>
      </c>
      <c r="F3" s="95">
        <v>1.333133364279419</v>
      </c>
      <c r="G3" s="194">
        <v>1.333133364279419</v>
      </c>
      <c r="I3" s="15"/>
      <c r="J3" s="198"/>
      <c r="K3" s="662" t="e">
        <v>#VALUE!</v>
      </c>
      <c r="L3" s="299"/>
    </row>
    <row r="4" spans="1:33" ht="15" thickBot="1">
      <c r="A4" s="195" t="s">
        <v>270</v>
      </c>
      <c r="B4" s="196">
        <v>0</v>
      </c>
      <c r="C4" s="196">
        <v>500</v>
      </c>
      <c r="D4" s="196">
        <v>500</v>
      </c>
      <c r="E4" s="196">
        <v>500</v>
      </c>
      <c r="F4" s="196">
        <v>500</v>
      </c>
      <c r="G4" s="197">
        <v>500</v>
      </c>
      <c r="L4" s="299"/>
    </row>
    <row r="5" spans="1:33">
      <c r="L5" s="299"/>
    </row>
    <row r="6" spans="1:33">
      <c r="A6" t="s">
        <v>271</v>
      </c>
      <c r="B6" s="32">
        <v>0</v>
      </c>
      <c r="C6" t="s">
        <v>42</v>
      </c>
      <c r="I6" t="s">
        <v>272</v>
      </c>
      <c r="L6" s="299"/>
    </row>
    <row r="7" spans="1:33">
      <c r="A7" t="s">
        <v>273</v>
      </c>
      <c r="B7" s="6" t="s">
        <v>274</v>
      </c>
      <c r="C7" s="486" t="s">
        <v>54</v>
      </c>
      <c r="D7" s="486" t="s">
        <v>17</v>
      </c>
      <c r="E7" s="6" t="s">
        <v>275</v>
      </c>
      <c r="F7" s="486" t="s">
        <v>59</v>
      </c>
      <c r="G7" s="486" t="s">
        <v>49</v>
      </c>
      <c r="I7" s="661">
        <v>1.1519160391050469</v>
      </c>
      <c r="L7" s="299"/>
    </row>
    <row r="8" spans="1:33">
      <c r="A8" t="s">
        <v>276</v>
      </c>
      <c r="B8">
        <v>60</v>
      </c>
      <c r="C8" t="s">
        <v>277</v>
      </c>
      <c r="F8" s="107" t="s">
        <v>278</v>
      </c>
      <c r="L8" s="299"/>
    </row>
    <row r="9" spans="1:33">
      <c r="A9" t="s">
        <v>279</v>
      </c>
      <c r="B9" s="6" t="s">
        <v>27</v>
      </c>
      <c r="E9" s="107" t="s">
        <v>32</v>
      </c>
      <c r="F9" s="107">
        <v>1</v>
      </c>
      <c r="G9" t="s">
        <v>27</v>
      </c>
      <c r="L9" s="299"/>
    </row>
    <row r="10" spans="1:33" ht="15" thickBot="1">
      <c r="L10" s="299"/>
    </row>
    <row r="11" spans="1:33" ht="16.350000000000001" customHeight="1" thickBot="1">
      <c r="A11" s="691" t="s">
        <v>280</v>
      </c>
      <c r="B11" s="692"/>
      <c r="C11" s="693" t="s">
        <v>27</v>
      </c>
      <c r="D11" s="153" t="s">
        <v>27</v>
      </c>
      <c r="K11" t="s">
        <v>281</v>
      </c>
      <c r="L11" s="299" t="s">
        <v>282</v>
      </c>
      <c r="M11" t="s">
        <v>283</v>
      </c>
      <c r="N11" t="s">
        <v>284</v>
      </c>
    </row>
    <row r="12" spans="1:33" ht="29.1">
      <c r="A12" s="199" t="s">
        <v>285</v>
      </c>
      <c r="B12" s="200" t="s">
        <v>286</v>
      </c>
      <c r="C12" s="694" t="s">
        <v>287</v>
      </c>
      <c r="D12" s="695" t="s">
        <v>288</v>
      </c>
      <c r="E12" s="201"/>
      <c r="F12" s="201"/>
      <c r="G12" s="201"/>
      <c r="H12" s="201"/>
      <c r="I12" s="696"/>
      <c r="J12" s="696"/>
      <c r="K12" s="298" t="s">
        <v>289</v>
      </c>
      <c r="L12" s="300" t="s">
        <v>289</v>
      </c>
      <c r="M12" s="201" t="str">
        <f>B9</f>
        <v>RMB</v>
      </c>
      <c r="N12" s="201" t="str">
        <f>M12</f>
        <v>RMB</v>
      </c>
      <c r="O12" s="201"/>
      <c r="P12" s="201"/>
      <c r="Q12" s="201"/>
    </row>
    <row r="13" spans="1:33">
      <c r="A13" s="290" t="s">
        <v>72</v>
      </c>
      <c r="B13" s="698">
        <v>3.1101917460818767</v>
      </c>
      <c r="C13" s="699">
        <v>69.2</v>
      </c>
      <c r="D13" s="700">
        <v>0.22419298836340193</v>
      </c>
      <c r="I13" s="701"/>
      <c r="K13" s="96">
        <v>8.65</v>
      </c>
      <c r="L13" s="301"/>
      <c r="M13" s="202">
        <f>IF(L13=0,0,(L13*'RFQ Data'!$K$24-C13)*B13/1000)</f>
        <v>0</v>
      </c>
      <c r="N13" s="380">
        <f>D13+M13</f>
        <v>0.22419298836340193</v>
      </c>
    </row>
    <row r="14" spans="1:33">
      <c r="A14" s="290" t="s">
        <v>77</v>
      </c>
      <c r="B14" s="698">
        <v>0</v>
      </c>
      <c r="C14" s="699">
        <v>9096</v>
      </c>
      <c r="D14" s="700">
        <v>0</v>
      </c>
      <c r="I14" s="702"/>
      <c r="K14" s="96">
        <v>1137</v>
      </c>
      <c r="L14" s="301"/>
      <c r="M14" s="202">
        <f>IF(L14=0,0,(L14*'RFQ Data'!$K$24-C14)*B14/1000)</f>
        <v>0</v>
      </c>
      <c r="N14" s="380">
        <f t="shared" ref="N14:N19" si="0">D14+M14</f>
        <v>0</v>
      </c>
    </row>
    <row r="15" spans="1:33">
      <c r="A15" s="290" t="s">
        <v>79</v>
      </c>
      <c r="B15" s="698">
        <v>3.856596772944314</v>
      </c>
      <c r="C15" s="699">
        <v>22.211227272727275</v>
      </c>
      <c r="D15" s="700">
        <v>8.9228903565763268E-2</v>
      </c>
      <c r="K15" s="96">
        <v>2.7764034090909093</v>
      </c>
      <c r="L15" s="301"/>
      <c r="M15" s="202">
        <f>IF(L15=0,0,(L15*'RFQ Data'!$K$24-C15)*B15/1000)</f>
        <v>0</v>
      </c>
      <c r="N15" s="380">
        <f t="shared" si="0"/>
        <v>8.9228903565763268E-2</v>
      </c>
    </row>
    <row r="16" spans="1:33">
      <c r="A16" s="290" t="s">
        <v>81</v>
      </c>
      <c r="B16" s="698">
        <v>0</v>
      </c>
      <c r="C16" s="699">
        <v>60</v>
      </c>
      <c r="D16" s="700">
        <v>0</v>
      </c>
      <c r="K16" s="96">
        <v>7.5</v>
      </c>
      <c r="L16" s="301"/>
      <c r="M16" s="202">
        <f>IF(L16=0,0,(L16*'RFQ Data'!$K$24-C16)*B16/1000)</f>
        <v>0</v>
      </c>
      <c r="N16" s="380">
        <f t="shared" si="0"/>
        <v>0</v>
      </c>
    </row>
    <row r="17" spans="1:15">
      <c r="A17" s="290" t="s">
        <v>183</v>
      </c>
      <c r="B17" s="698">
        <v>0</v>
      </c>
      <c r="C17" s="699">
        <v>0</v>
      </c>
      <c r="D17" s="700">
        <v>0</v>
      </c>
      <c r="K17" s="96">
        <v>0</v>
      </c>
      <c r="L17" s="301"/>
      <c r="M17" s="202">
        <f>IF(L17=0,0,(L17*'RFQ Data'!$K$24-C17)*B17/1000)</f>
        <v>0</v>
      </c>
      <c r="N17" s="380">
        <f t="shared" si="0"/>
        <v>0</v>
      </c>
    </row>
    <row r="18" spans="1:15">
      <c r="A18" s="290" t="s">
        <v>91</v>
      </c>
      <c r="B18" s="698">
        <v>0</v>
      </c>
      <c r="C18" s="699">
        <v>176</v>
      </c>
      <c r="D18" s="700">
        <v>0</v>
      </c>
      <c r="K18" s="96">
        <v>22</v>
      </c>
      <c r="L18" s="301"/>
      <c r="M18" s="202">
        <f>IF(L18=0,0,(L18*'RFQ Data'!$K$24-C18)*B18/1000)</f>
        <v>0</v>
      </c>
      <c r="N18" s="380">
        <f t="shared" si="0"/>
        <v>0</v>
      </c>
    </row>
    <row r="19" spans="1:15" ht="15" thickBot="1">
      <c r="A19" s="697">
        <v>0</v>
      </c>
      <c r="B19" s="698">
        <v>0</v>
      </c>
      <c r="C19" s="699" t="s">
        <v>121</v>
      </c>
      <c r="D19" s="703" t="s">
        <v>121</v>
      </c>
      <c r="K19" s="96"/>
      <c r="L19" s="301"/>
      <c r="M19" s="202">
        <f>IF(L19=0,0,(L19*'RFQ Data'!$K$24-C19)*B19/1000)</f>
        <v>0</v>
      </c>
      <c r="N19" s="380" t="e">
        <f t="shared" si="0"/>
        <v>#VALUE!</v>
      </c>
    </row>
    <row r="20" spans="1:15" ht="15" thickBot="1">
      <c r="A20" s="704" t="s">
        <v>290</v>
      </c>
      <c r="B20" s="692"/>
      <c r="C20" s="692"/>
      <c r="D20" s="705" t="s">
        <v>27</v>
      </c>
    </row>
    <row r="21" spans="1:15">
      <c r="A21" s="706" t="s">
        <v>291</v>
      </c>
      <c r="B21" s="707" t="s">
        <v>292</v>
      </c>
      <c r="C21" s="708" t="s">
        <v>293</v>
      </c>
      <c r="D21" s="709" t="s">
        <v>294</v>
      </c>
    </row>
    <row r="22" spans="1:15">
      <c r="A22" s="710" t="s">
        <v>61</v>
      </c>
      <c r="B22" s="711" t="s">
        <v>27</v>
      </c>
      <c r="C22" s="713">
        <v>8</v>
      </c>
      <c r="D22" s="714">
        <v>0.37269760634151838</v>
      </c>
    </row>
    <row r="23" spans="1:15">
      <c r="A23" s="712" t="s">
        <v>27</v>
      </c>
      <c r="B23" s="486" t="s">
        <v>27</v>
      </c>
      <c r="C23" s="715">
        <v>1</v>
      </c>
      <c r="D23" s="700">
        <v>9.0907271999999997E-2</v>
      </c>
      <c r="E23" s="701"/>
    </row>
    <row r="24" spans="1:15">
      <c r="A24" s="712">
        <v>0</v>
      </c>
      <c r="B24" s="486" t="s">
        <v>27</v>
      </c>
      <c r="C24" s="715">
        <v>0</v>
      </c>
      <c r="D24" s="700">
        <v>0</v>
      </c>
    </row>
    <row r="25" spans="1:15">
      <c r="A25" s="712"/>
      <c r="B25" s="486"/>
      <c r="C25" s="715">
        <v>0</v>
      </c>
      <c r="D25" s="700">
        <v>0</v>
      </c>
    </row>
    <row r="26" spans="1:15">
      <c r="A26" s="712"/>
      <c r="B26" s="486"/>
      <c r="C26" s="715">
        <v>0</v>
      </c>
      <c r="D26" s="700">
        <v>0</v>
      </c>
    </row>
    <row r="27" spans="1:15">
      <c r="A27" s="363"/>
      <c r="B27" s="204"/>
      <c r="C27" s="205"/>
      <c r="H27" s="207"/>
      <c r="L27" s="558" t="s">
        <v>295</v>
      </c>
    </row>
    <row r="28" spans="1:15">
      <c r="A28" s="208" t="s">
        <v>296</v>
      </c>
      <c r="B28" s="204"/>
      <c r="C28" s="205"/>
      <c r="E28" s="209">
        <v>0.42758308464433065</v>
      </c>
      <c r="F28" t="s">
        <v>27</v>
      </c>
      <c r="H28" s="208" t="s">
        <v>297</v>
      </c>
      <c r="J28" t="s">
        <v>298</v>
      </c>
      <c r="L28" s="302" t="s">
        <v>299</v>
      </c>
    </row>
    <row r="29" spans="1:15" ht="15" thickBot="1">
      <c r="D29" s="6" t="s">
        <v>300</v>
      </c>
      <c r="E29" s="204">
        <v>1.8544195133660735E-2</v>
      </c>
      <c r="F29" t="s">
        <v>27</v>
      </c>
      <c r="I29" s="157" t="s">
        <v>301</v>
      </c>
      <c r="J29" s="585">
        <v>0.1</v>
      </c>
      <c r="L29" s="299"/>
      <c r="M29" s="157" t="str">
        <f>I29</f>
        <v>KRMB</v>
      </c>
    </row>
    <row r="30" spans="1:15" ht="29.1">
      <c r="A30" s="210" t="s">
        <v>302</v>
      </c>
      <c r="B30" s="211" t="s">
        <v>303</v>
      </c>
      <c r="C30" s="212" t="s">
        <v>304</v>
      </c>
      <c r="D30" s="211" t="s">
        <v>305</v>
      </c>
      <c r="E30" s="211" t="s">
        <v>306</v>
      </c>
      <c r="F30" s="211" t="s">
        <v>307</v>
      </c>
      <c r="H30" s="207"/>
      <c r="I30" s="213" t="s">
        <v>308</v>
      </c>
      <c r="K30" s="264" t="s">
        <v>309</v>
      </c>
      <c r="L30" s="299"/>
      <c r="M30" s="222" t="s">
        <v>308</v>
      </c>
      <c r="N30" t="s">
        <v>310</v>
      </c>
    </row>
    <row r="31" spans="1:15">
      <c r="A31" s="583" t="s">
        <v>311</v>
      </c>
      <c r="B31" s="581">
        <v>0</v>
      </c>
      <c r="C31" s="214">
        <v>2.3327170362720002</v>
      </c>
      <c r="D31" s="136" t="s">
        <v>49</v>
      </c>
      <c r="E31" s="202">
        <v>0.16142401891002242</v>
      </c>
      <c r="F31" s="670" t="s">
        <v>312</v>
      </c>
      <c r="H31" s="207"/>
      <c r="I31" s="215"/>
      <c r="K31" s="730"/>
      <c r="L31" s="299"/>
      <c r="M31" s="215" t="str">
        <f t="shared" ref="M31:M58" si="1">IF(AND(K31&lt;&gt;0,ISNUMBER(I31)),I31*(1+J$29),"")</f>
        <v/>
      </c>
      <c r="N31" s="96"/>
      <c r="O31" s="92"/>
    </row>
    <row r="32" spans="1:15">
      <c r="A32" s="583" t="s">
        <v>313</v>
      </c>
      <c r="B32" s="581">
        <v>0</v>
      </c>
      <c r="C32" s="214">
        <v>0</v>
      </c>
      <c r="D32" s="136" t="s">
        <v>121</v>
      </c>
      <c r="E32" s="202">
        <v>0</v>
      </c>
      <c r="F32" s="670" t="s">
        <v>312</v>
      </c>
      <c r="H32" s="207"/>
      <c r="I32" s="216"/>
      <c r="K32" s="730"/>
      <c r="L32" s="299"/>
      <c r="M32" s="216" t="str">
        <f t="shared" si="1"/>
        <v/>
      </c>
      <c r="N32" s="96"/>
      <c r="O32" s="92"/>
    </row>
    <row r="33" spans="1:15">
      <c r="A33" s="583" t="s">
        <v>314</v>
      </c>
      <c r="B33" s="581">
        <v>0</v>
      </c>
      <c r="C33" s="214">
        <v>3.7045768171272009</v>
      </c>
      <c r="D33" s="136" t="s">
        <v>253</v>
      </c>
      <c r="E33" s="202">
        <v>9.4650661282496606E-2</v>
      </c>
      <c r="F33" s="670"/>
      <c r="H33" s="207"/>
      <c r="I33" s="216"/>
      <c r="K33" s="730"/>
      <c r="L33" s="299"/>
      <c r="M33" s="216" t="str">
        <f t="shared" si="1"/>
        <v/>
      </c>
      <c r="N33" s="96"/>
      <c r="O33" s="92"/>
    </row>
    <row r="34" spans="1:15">
      <c r="A34" s="583" t="s">
        <v>315</v>
      </c>
      <c r="B34" s="581">
        <v>0</v>
      </c>
      <c r="C34" s="214">
        <v>0</v>
      </c>
      <c r="D34" s="136" t="s">
        <v>121</v>
      </c>
      <c r="E34" s="202">
        <v>0</v>
      </c>
      <c r="F34" s="670"/>
      <c r="H34" s="207"/>
      <c r="I34" s="216"/>
      <c r="K34" s="730"/>
      <c r="L34" s="299"/>
      <c r="M34" s="216" t="str">
        <f t="shared" si="1"/>
        <v/>
      </c>
      <c r="N34" s="96"/>
      <c r="O34" s="92"/>
    </row>
    <row r="35" spans="1:15">
      <c r="A35" s="583" t="s">
        <v>316</v>
      </c>
      <c r="B35" s="581">
        <v>0</v>
      </c>
      <c r="C35" s="214">
        <v>2.3327170362720002</v>
      </c>
      <c r="D35" s="136" t="s">
        <v>49</v>
      </c>
      <c r="E35" s="202">
        <v>5.5985208870528005E-2</v>
      </c>
      <c r="F35" s="670" t="s">
        <v>312</v>
      </c>
      <c r="G35" s="207"/>
      <c r="I35" s="216"/>
      <c r="K35" s="730"/>
      <c r="L35" s="299"/>
      <c r="M35" s="216" t="str">
        <f t="shared" si="1"/>
        <v/>
      </c>
      <c r="N35" s="96"/>
      <c r="O35" s="92"/>
    </row>
    <row r="36" spans="1:15">
      <c r="A36" s="583" t="s">
        <v>317</v>
      </c>
      <c r="B36" s="581">
        <v>0</v>
      </c>
      <c r="C36" s="214">
        <v>0</v>
      </c>
      <c r="D36" s="136" t="s">
        <v>121</v>
      </c>
      <c r="E36" s="202">
        <v>0</v>
      </c>
      <c r="F36" s="670" t="s">
        <v>312</v>
      </c>
      <c r="H36" s="207"/>
      <c r="I36" s="218"/>
      <c r="K36" s="723"/>
      <c r="L36" s="299"/>
      <c r="M36" s="218" t="str">
        <f>IF(AND(K36&lt;&gt;0,ISNUMBER(I36)),I36*(1+J$29),"")</f>
        <v/>
      </c>
      <c r="N36" s="219"/>
      <c r="O36" s="217"/>
    </row>
    <row r="37" spans="1:15">
      <c r="A37" s="583" t="s">
        <v>318</v>
      </c>
      <c r="B37" s="581">
        <v>0</v>
      </c>
      <c r="C37" s="214">
        <v>0</v>
      </c>
      <c r="D37" s="136" t="s">
        <v>121</v>
      </c>
      <c r="E37" s="202">
        <v>0</v>
      </c>
      <c r="F37" s="670"/>
      <c r="G37" s="107"/>
      <c r="H37" s="207"/>
      <c r="I37" s="216"/>
      <c r="K37" s="730"/>
      <c r="L37" s="299"/>
      <c r="M37" s="216" t="str">
        <f>IF(AND(K37&lt;&gt;0,ISNUMBER(I37)),I37*(1+J$29),"")</f>
        <v/>
      </c>
      <c r="N37" s="96"/>
      <c r="O37" s="92"/>
    </row>
    <row r="38" spans="1:15">
      <c r="A38" s="583" t="s">
        <v>319</v>
      </c>
      <c r="B38" s="581">
        <v>0</v>
      </c>
      <c r="C38" s="214">
        <v>0.68174999999999997</v>
      </c>
      <c r="D38" s="136" t="s">
        <v>49</v>
      </c>
      <c r="E38" s="202">
        <v>4.7177099999999993E-2</v>
      </c>
      <c r="F38" s="202" t="s">
        <v>24</v>
      </c>
      <c r="H38" s="207"/>
      <c r="I38" s="216"/>
      <c r="K38" s="730"/>
      <c r="L38" s="299"/>
      <c r="M38" s="216" t="str">
        <f t="shared" si="1"/>
        <v/>
      </c>
      <c r="N38" s="96"/>
      <c r="O38" s="92"/>
    </row>
    <row r="39" spans="1:15">
      <c r="A39" s="583" t="s">
        <v>320</v>
      </c>
      <c r="B39" s="581">
        <v>0</v>
      </c>
      <c r="C39" s="214">
        <v>0.68174999999999997</v>
      </c>
      <c r="D39" s="136" t="s">
        <v>49</v>
      </c>
      <c r="E39" s="202">
        <v>3.6996300000000003E-2</v>
      </c>
      <c r="F39" s="202" t="s">
        <v>24</v>
      </c>
      <c r="H39" s="207"/>
      <c r="I39" s="216"/>
      <c r="K39" s="730"/>
      <c r="L39" s="299"/>
      <c r="M39" s="216" t="str">
        <f t="shared" si="1"/>
        <v/>
      </c>
      <c r="N39" s="96"/>
      <c r="O39" s="92"/>
    </row>
    <row r="40" spans="1:15" ht="15" thickBot="1">
      <c r="A40" s="583" t="s">
        <v>321</v>
      </c>
      <c r="B40" s="581">
        <v>0</v>
      </c>
      <c r="C40" s="214">
        <v>0</v>
      </c>
      <c r="D40" s="136" t="s">
        <v>121</v>
      </c>
      <c r="E40" s="202">
        <v>0</v>
      </c>
      <c r="F40" s="202" t="s">
        <v>312</v>
      </c>
      <c r="H40" s="207"/>
      <c r="I40" s="231"/>
      <c r="K40" s="723"/>
      <c r="L40" s="299"/>
      <c r="M40" s="218" t="str">
        <f t="shared" si="1"/>
        <v/>
      </c>
      <c r="N40" s="219"/>
      <c r="O40" s="217"/>
    </row>
    <row r="41" spans="1:15" ht="15" thickBot="1">
      <c r="A41" s="676" t="s">
        <v>322</v>
      </c>
      <c r="B41" s="677">
        <v>0</v>
      </c>
      <c r="C41" s="678">
        <v>0</v>
      </c>
      <c r="D41" s="679" t="s">
        <v>121</v>
      </c>
      <c r="E41" s="680">
        <v>0</v>
      </c>
      <c r="F41" s="680" t="s">
        <v>24</v>
      </c>
      <c r="H41" s="207"/>
      <c r="I41" s="230">
        <v>0</v>
      </c>
      <c r="K41" s="723"/>
      <c r="L41" s="299"/>
      <c r="M41" s="230" t="str">
        <f t="shared" si="1"/>
        <v/>
      </c>
      <c r="N41" s="219"/>
      <c r="O41" s="217"/>
    </row>
    <row r="42" spans="1:15" ht="15" thickBot="1">
      <c r="A42" s="676" t="s">
        <v>323</v>
      </c>
      <c r="B42" s="677">
        <v>0</v>
      </c>
      <c r="C42" s="678">
        <v>0</v>
      </c>
      <c r="D42" s="679" t="s">
        <v>121</v>
      </c>
      <c r="E42" s="680">
        <v>0</v>
      </c>
      <c r="F42" s="680" t="s">
        <v>24</v>
      </c>
      <c r="H42" s="207"/>
      <c r="I42" s="230">
        <v>8.125</v>
      </c>
      <c r="K42" s="723" t="s">
        <v>324</v>
      </c>
      <c r="L42" s="299"/>
      <c r="M42" s="230">
        <f t="shared" si="1"/>
        <v>8.9375</v>
      </c>
      <c r="N42" s="219"/>
      <c r="O42" s="217"/>
    </row>
    <row r="43" spans="1:15" ht="15" thickBot="1">
      <c r="A43" s="676" t="s">
        <v>325</v>
      </c>
      <c r="B43" s="677">
        <v>0</v>
      </c>
      <c r="C43" s="678">
        <v>0</v>
      </c>
      <c r="D43" s="679" t="s">
        <v>121</v>
      </c>
      <c r="E43" s="680">
        <v>0</v>
      </c>
      <c r="F43" s="680" t="s">
        <v>24</v>
      </c>
      <c r="H43" s="207"/>
      <c r="I43" s="230">
        <v>0</v>
      </c>
      <c r="K43" s="723" t="s">
        <v>324</v>
      </c>
      <c r="L43" s="299"/>
      <c r="M43" s="230">
        <f t="shared" si="1"/>
        <v>0</v>
      </c>
      <c r="N43" s="219"/>
      <c r="O43" s="217"/>
    </row>
    <row r="44" spans="1:15" ht="15" thickBot="1">
      <c r="A44" s="676" t="s">
        <v>326</v>
      </c>
      <c r="B44" s="677">
        <v>0</v>
      </c>
      <c r="C44" s="678">
        <v>0</v>
      </c>
      <c r="D44" s="679" t="s">
        <v>121</v>
      </c>
      <c r="E44" s="680">
        <v>0</v>
      </c>
      <c r="F44" s="680" t="s">
        <v>24</v>
      </c>
      <c r="H44" s="207"/>
      <c r="I44" s="230">
        <v>0</v>
      </c>
      <c r="K44" s="723"/>
      <c r="L44" s="299"/>
      <c r="M44" s="230" t="str">
        <f t="shared" si="1"/>
        <v/>
      </c>
      <c r="N44" s="219"/>
      <c r="O44" s="217"/>
    </row>
    <row r="45" spans="1:15" ht="15" thickBot="1">
      <c r="A45" s="676" t="s">
        <v>327</v>
      </c>
      <c r="B45" s="677">
        <v>0</v>
      </c>
      <c r="C45" s="678">
        <v>0</v>
      </c>
      <c r="D45" s="679" t="s">
        <v>121</v>
      </c>
      <c r="E45" s="680">
        <v>0</v>
      </c>
      <c r="F45" s="680" t="s">
        <v>24</v>
      </c>
      <c r="H45" s="207"/>
      <c r="I45" s="230">
        <v>0</v>
      </c>
      <c r="K45" s="723"/>
      <c r="L45" s="299"/>
      <c r="M45" s="230" t="str">
        <f t="shared" si="1"/>
        <v/>
      </c>
      <c r="N45" s="219"/>
      <c r="O45" s="217"/>
    </row>
    <row r="46" spans="1:15" ht="15" thickBot="1">
      <c r="A46" s="676" t="s">
        <v>328</v>
      </c>
      <c r="B46" s="677">
        <v>0</v>
      </c>
      <c r="C46" s="678">
        <v>0</v>
      </c>
      <c r="D46" s="679" t="s">
        <v>121</v>
      </c>
      <c r="E46" s="680">
        <v>0</v>
      </c>
      <c r="F46" s="680" t="s">
        <v>24</v>
      </c>
      <c r="H46" s="207"/>
      <c r="I46" s="230">
        <v>0</v>
      </c>
      <c r="K46" s="723"/>
      <c r="L46" s="299"/>
      <c r="M46" s="230" t="str">
        <f t="shared" si="1"/>
        <v/>
      </c>
      <c r="N46" s="219"/>
      <c r="O46" s="217"/>
    </row>
    <row r="47" spans="1:15" ht="15" thickBot="1">
      <c r="A47" s="583" t="s">
        <v>329</v>
      </c>
      <c r="B47" s="581">
        <v>0</v>
      </c>
      <c r="C47" s="214">
        <v>0</v>
      </c>
      <c r="D47" s="136" t="s">
        <v>121</v>
      </c>
      <c r="E47" s="202">
        <v>0</v>
      </c>
      <c r="F47" s="202" t="s">
        <v>24</v>
      </c>
      <c r="H47" s="207"/>
      <c r="I47" s="230">
        <v>0</v>
      </c>
      <c r="K47" s="723" t="s">
        <v>324</v>
      </c>
      <c r="L47" s="299"/>
      <c r="M47" s="230">
        <f t="shared" si="1"/>
        <v>0</v>
      </c>
      <c r="N47" s="219"/>
      <c r="O47" s="217"/>
    </row>
    <row r="48" spans="1:15">
      <c r="A48" s="583" t="s">
        <v>330</v>
      </c>
      <c r="B48" s="581">
        <v>0</v>
      </c>
      <c r="C48" s="214">
        <v>0</v>
      </c>
      <c r="D48" s="136" t="s">
        <v>121</v>
      </c>
      <c r="E48" s="202">
        <v>0</v>
      </c>
      <c r="F48" s="202" t="s">
        <v>312</v>
      </c>
      <c r="H48" s="207"/>
      <c r="I48" s="218"/>
      <c r="K48" s="723"/>
      <c r="L48" s="299"/>
      <c r="M48" s="218" t="str">
        <f t="shared" si="1"/>
        <v/>
      </c>
      <c r="N48" s="219"/>
      <c r="O48" s="217"/>
    </row>
    <row r="49" spans="1:19">
      <c r="A49" s="671" t="s">
        <v>331</v>
      </c>
      <c r="B49" s="672" t="s">
        <v>332</v>
      </c>
      <c r="C49" s="673">
        <v>9.5724709809876268E-2</v>
      </c>
      <c r="D49" s="106" t="s">
        <v>49</v>
      </c>
      <c r="E49" s="670">
        <v>6.6241499188434373E-3</v>
      </c>
      <c r="F49" s="670"/>
      <c r="H49" s="207"/>
      <c r="I49" s="106"/>
      <c r="K49" s="731"/>
      <c r="L49" s="299"/>
      <c r="M49" s="106" t="str">
        <f t="shared" si="1"/>
        <v/>
      </c>
      <c r="N49" s="717"/>
      <c r="O49" s="718"/>
    </row>
    <row r="50" spans="1:19">
      <c r="A50" s="674" t="s">
        <v>333</v>
      </c>
      <c r="B50" s="675" t="s">
        <v>332</v>
      </c>
      <c r="C50" s="673">
        <v>0</v>
      </c>
      <c r="D50" s="106" t="s">
        <v>121</v>
      </c>
      <c r="E50" s="670">
        <v>0</v>
      </c>
      <c r="F50" s="670"/>
      <c r="H50" s="207"/>
      <c r="I50" s="106"/>
      <c r="K50" s="731"/>
      <c r="L50" s="299"/>
      <c r="M50" s="106" t="str">
        <f t="shared" si="1"/>
        <v/>
      </c>
      <c r="N50" s="717"/>
      <c r="O50" s="718"/>
    </row>
    <row r="51" spans="1:19">
      <c r="A51" s="674" t="s">
        <v>334</v>
      </c>
      <c r="B51" s="675" t="s">
        <v>332</v>
      </c>
      <c r="C51" s="673">
        <v>0.15201995581711306</v>
      </c>
      <c r="D51" s="106" t="s">
        <v>253</v>
      </c>
      <c r="E51" s="670">
        <v>3.8840574933424609E-3</v>
      </c>
      <c r="F51" s="670"/>
      <c r="H51" s="207"/>
      <c r="I51" s="106"/>
      <c r="K51" s="731"/>
      <c r="L51" s="299"/>
      <c r="M51" s="106" t="str">
        <f t="shared" si="1"/>
        <v/>
      </c>
      <c r="N51" s="717"/>
      <c r="O51" s="718"/>
    </row>
    <row r="52" spans="1:19">
      <c r="A52" s="674" t="s">
        <v>335</v>
      </c>
      <c r="B52" s="675" t="s">
        <v>332</v>
      </c>
      <c r="C52" s="673">
        <v>0</v>
      </c>
      <c r="D52" s="106" t="s">
        <v>121</v>
      </c>
      <c r="E52" s="670">
        <v>0</v>
      </c>
      <c r="F52" s="670"/>
      <c r="H52" s="207"/>
      <c r="I52" s="106"/>
      <c r="K52" s="731"/>
      <c r="L52" s="299"/>
      <c r="M52" s="106" t="str">
        <f t="shared" si="1"/>
        <v/>
      </c>
      <c r="N52" s="717"/>
      <c r="O52" s="718"/>
    </row>
    <row r="53" spans="1:19">
      <c r="A53" s="674" t="s">
        <v>336</v>
      </c>
      <c r="B53" s="675" t="s">
        <v>332</v>
      </c>
      <c r="C53" s="673">
        <v>9.5724709809876268E-2</v>
      </c>
      <c r="D53" s="106" t="s">
        <v>49</v>
      </c>
      <c r="E53" s="670">
        <v>2.2973930354370305E-3</v>
      </c>
      <c r="F53" s="670"/>
      <c r="H53" s="207"/>
      <c r="I53" s="106"/>
      <c r="K53" s="731"/>
      <c r="L53" s="299"/>
      <c r="M53" s="106" t="str">
        <f t="shared" si="1"/>
        <v/>
      </c>
      <c r="N53" s="717"/>
      <c r="O53" s="718"/>
    </row>
    <row r="54" spans="1:19">
      <c r="A54" s="674" t="s">
        <v>337</v>
      </c>
      <c r="B54" s="675" t="s">
        <v>332</v>
      </c>
      <c r="C54" s="673">
        <v>0</v>
      </c>
      <c r="D54" s="106" t="s">
        <v>121</v>
      </c>
      <c r="E54" s="670">
        <v>0</v>
      </c>
      <c r="F54" s="670"/>
      <c r="H54" s="207"/>
      <c r="I54" s="106"/>
      <c r="K54" s="731"/>
      <c r="L54" s="299"/>
      <c r="M54" s="106" t="str">
        <f t="shared" si="1"/>
        <v/>
      </c>
      <c r="N54" s="717"/>
      <c r="O54" s="718"/>
    </row>
    <row r="55" spans="1:19">
      <c r="A55" s="584">
        <v>0</v>
      </c>
      <c r="B55" s="582">
        <v>0</v>
      </c>
      <c r="C55" s="214">
        <v>0</v>
      </c>
      <c r="D55" s="136" t="s">
        <v>121</v>
      </c>
      <c r="E55" s="202">
        <v>0</v>
      </c>
      <c r="F55" s="202">
        <v>0</v>
      </c>
      <c r="H55" s="207"/>
      <c r="I55" s="218"/>
      <c r="K55" s="723"/>
      <c r="L55" s="299"/>
      <c r="M55" s="218" t="str">
        <f t="shared" si="1"/>
        <v/>
      </c>
      <c r="N55" s="219"/>
      <c r="O55" s="217"/>
    </row>
    <row r="56" spans="1:19">
      <c r="A56" s="584">
        <v>0</v>
      </c>
      <c r="B56" s="582">
        <v>0</v>
      </c>
      <c r="C56" s="214">
        <v>0</v>
      </c>
      <c r="D56" s="136" t="s">
        <v>121</v>
      </c>
      <c r="E56" s="202">
        <v>0</v>
      </c>
      <c r="F56" s="202">
        <v>0</v>
      </c>
      <c r="H56" s="207"/>
      <c r="I56" s="218"/>
      <c r="K56" s="723"/>
      <c r="L56" s="299"/>
      <c r="M56" s="218" t="str">
        <f t="shared" si="1"/>
        <v/>
      </c>
      <c r="N56" s="219"/>
      <c r="O56" s="217"/>
    </row>
    <row r="57" spans="1:19">
      <c r="A57" s="584">
        <v>0</v>
      </c>
      <c r="B57" s="582">
        <v>0</v>
      </c>
      <c r="C57" s="214">
        <v>0</v>
      </c>
      <c r="D57" s="136" t="s">
        <v>121</v>
      </c>
      <c r="E57" s="202">
        <v>0</v>
      </c>
      <c r="F57" s="202">
        <v>0</v>
      </c>
      <c r="H57" s="207"/>
      <c r="I57" s="218"/>
      <c r="K57" s="723"/>
      <c r="L57" s="299"/>
      <c r="M57" s="218" t="str">
        <f t="shared" si="1"/>
        <v/>
      </c>
      <c r="N57" s="219"/>
      <c r="O57" s="217"/>
    </row>
    <row r="58" spans="1:19" ht="15" thickBot="1">
      <c r="A58" s="584">
        <v>0</v>
      </c>
      <c r="B58" s="582">
        <v>0</v>
      </c>
      <c r="C58" s="214">
        <v>0</v>
      </c>
      <c r="D58" s="136" t="s">
        <v>121</v>
      </c>
      <c r="E58" s="202">
        <v>0</v>
      </c>
      <c r="F58" s="202">
        <v>0</v>
      </c>
      <c r="H58" s="207"/>
      <c r="I58" s="218"/>
      <c r="K58" s="723"/>
      <c r="L58" s="299"/>
      <c r="M58" s="218" t="str">
        <f t="shared" si="1"/>
        <v/>
      </c>
      <c r="N58" s="219"/>
      <c r="O58" s="217"/>
    </row>
    <row r="59" spans="1:19" ht="15" thickBot="1">
      <c r="A59" s="208" t="s">
        <v>139</v>
      </c>
      <c r="B59" s="204"/>
      <c r="C59" s="205"/>
      <c r="E59" s="209">
        <v>3.0446048832474667E-3</v>
      </c>
      <c r="F59" t="s">
        <v>27</v>
      </c>
      <c r="H59" s="207"/>
      <c r="L59" s="719" t="s">
        <v>338</v>
      </c>
      <c r="M59" s="273">
        <f>SUM(M31:M58)</f>
        <v>8.9375</v>
      </c>
    </row>
    <row r="60" spans="1:19" ht="15" thickBot="1">
      <c r="A60" s="208" t="s">
        <v>339</v>
      </c>
      <c r="B60" s="204"/>
      <c r="C60" s="205"/>
      <c r="D60" s="285" t="s">
        <v>150</v>
      </c>
      <c r="E60" s="209">
        <v>5.5864082490204692E-2</v>
      </c>
      <c r="F60" t="s">
        <v>27</v>
      </c>
      <c r="G60" s="206"/>
      <c r="I60" s="207"/>
      <c r="J60" s="716" t="s">
        <v>324</v>
      </c>
      <c r="K60" t="s">
        <v>340</v>
      </c>
      <c r="L60" s="299"/>
    </row>
    <row r="61" spans="1:19">
      <c r="B61" s="204"/>
      <c r="C61" s="205"/>
      <c r="D61" s="6" t="s">
        <v>151</v>
      </c>
      <c r="E61" s="209">
        <v>9.8981219745647692E-2</v>
      </c>
      <c r="F61" t="s">
        <v>27</v>
      </c>
      <c r="H61" s="208" t="s">
        <v>297</v>
      </c>
      <c r="J61" t="s">
        <v>298</v>
      </c>
      <c r="L61" s="302" t="s">
        <v>299</v>
      </c>
      <c r="R61" s="6" t="s">
        <v>250</v>
      </c>
    </row>
    <row r="62" spans="1:19">
      <c r="A62" s="208" t="s">
        <v>341</v>
      </c>
      <c r="B62" s="204"/>
      <c r="C62" s="205"/>
      <c r="E62" s="209">
        <v>0.19762102550308494</v>
      </c>
      <c r="F62" t="s">
        <v>27</v>
      </c>
      <c r="G62" s="107" t="s">
        <v>342</v>
      </c>
      <c r="H62" s="157" t="s">
        <v>301</v>
      </c>
      <c r="I62" s="157" t="s">
        <v>301</v>
      </c>
      <c r="J62" s="555">
        <v>0.1</v>
      </c>
      <c r="K62" s="555">
        <v>0.1</v>
      </c>
      <c r="L62" s="157" t="str">
        <f>H62</f>
        <v>KRMB</v>
      </c>
      <c r="M62" s="157" t="str">
        <f>I62</f>
        <v>KRMB</v>
      </c>
      <c r="O62" t="str">
        <f>H62</f>
        <v>KRMB</v>
      </c>
      <c r="R62" s="14">
        <f>J62</f>
        <v>0.1</v>
      </c>
    </row>
    <row r="63" spans="1:19" ht="29.1">
      <c r="A63" s="221" t="s">
        <v>343</v>
      </c>
      <c r="B63" s="221" t="s">
        <v>344</v>
      </c>
      <c r="C63" s="221" t="s">
        <v>345</v>
      </c>
      <c r="D63" s="221" t="s">
        <v>346</v>
      </c>
      <c r="E63" s="221" t="s">
        <v>347</v>
      </c>
      <c r="F63" s="221" t="s">
        <v>348</v>
      </c>
      <c r="G63" s="222" t="s">
        <v>349</v>
      </c>
      <c r="H63" s="213" t="s">
        <v>350</v>
      </c>
      <c r="I63" s="213" t="s">
        <v>308</v>
      </c>
      <c r="J63" s="264" t="s">
        <v>351</v>
      </c>
      <c r="K63" s="263" t="s">
        <v>352</v>
      </c>
      <c r="L63" s="303" t="s">
        <v>350</v>
      </c>
      <c r="M63" s="213" t="s">
        <v>308</v>
      </c>
      <c r="N63" s="136" t="s">
        <v>310</v>
      </c>
      <c r="O63" s="353" t="s">
        <v>353</v>
      </c>
      <c r="R63" s="490" t="s">
        <v>354</v>
      </c>
      <c r="S63" s="490" t="s">
        <v>355</v>
      </c>
    </row>
    <row r="64" spans="1:19">
      <c r="A64" s="223" t="s">
        <v>356</v>
      </c>
      <c r="B64" s="224">
        <v>0</v>
      </c>
      <c r="C64" s="223">
        <v>1</v>
      </c>
      <c r="D64" s="225" t="s">
        <v>253</v>
      </c>
      <c r="E64" s="226">
        <v>1.1648478061506054E-2</v>
      </c>
      <c r="F64" s="226">
        <v>6.2787452141665773E-3</v>
      </c>
      <c r="G64" s="227">
        <v>1.5618769189469098E-2</v>
      </c>
      <c r="H64" s="343">
        <v>14.994018421890333</v>
      </c>
      <c r="I64" s="344">
        <v>0</v>
      </c>
      <c r="J64" s="720"/>
      <c r="K64" s="721"/>
      <c r="L64" s="304" t="str">
        <f>IF(J64&lt;&gt;0,H64*(1+J$62),"")</f>
        <v/>
      </c>
      <c r="M64" s="265" t="str">
        <f t="shared" ref="M64:M91" si="2">IF(K64&lt;&gt;0,I64*(1+K$62),"")</f>
        <v/>
      </c>
      <c r="N64" s="219"/>
      <c r="O64" s="354">
        <f>IF(G64&lt;&gt;0,H64/G64/(1+$H$92),0)</f>
        <v>800</v>
      </c>
      <c r="R64" s="355">
        <f>O64*(1+$J$62)</f>
        <v>880.00000000000011</v>
      </c>
      <c r="S64" s="106" t="s">
        <v>357</v>
      </c>
    </row>
    <row r="65" spans="1:19" ht="15" thickBot="1">
      <c r="A65" s="228" t="s">
        <v>358</v>
      </c>
      <c r="B65" s="229">
        <v>0</v>
      </c>
      <c r="C65" s="223">
        <v>1</v>
      </c>
      <c r="D65" s="136" t="s">
        <v>49</v>
      </c>
      <c r="E65" s="203">
        <v>7.49801904516E-4</v>
      </c>
      <c r="F65" s="226">
        <v>8.7350659583345454E-4</v>
      </c>
      <c r="G65" s="227">
        <v>1.2622927685454546E-3</v>
      </c>
      <c r="H65" s="345">
        <v>0.24236021156072729</v>
      </c>
      <c r="I65" s="346">
        <v>0</v>
      </c>
      <c r="J65" s="720"/>
      <c r="K65" s="722"/>
      <c r="L65" s="305" t="str">
        <f t="shared" ref="L65:L91" si="3">IF(J65&lt;&gt;0,H65*(1+J$62),"")</f>
        <v/>
      </c>
      <c r="M65" s="266" t="str">
        <f t="shared" si="2"/>
        <v/>
      </c>
      <c r="N65" s="219"/>
      <c r="O65" s="354">
        <f t="shared" ref="O65:O91" si="4">IF(G65&lt;&gt;0,H65/G65/(1+$H$92),0)</f>
        <v>160</v>
      </c>
      <c r="R65" s="355">
        <f t="shared" ref="R65:R91" si="5">O65*(1+$J$62)</f>
        <v>176</v>
      </c>
      <c r="S65" s="106" t="s">
        <v>357</v>
      </c>
    </row>
    <row r="66" spans="1:19" ht="15" thickBot="1">
      <c r="A66" s="228" t="s">
        <v>359</v>
      </c>
      <c r="B66" s="229">
        <v>0</v>
      </c>
      <c r="C66" s="223">
        <v>1</v>
      </c>
      <c r="D66" s="136" t="s">
        <v>49</v>
      </c>
      <c r="E66" s="203">
        <v>7.5387398072646414E-3</v>
      </c>
      <c r="F66" s="226">
        <v>2.5897464216184385E-2</v>
      </c>
      <c r="G66" s="227">
        <v>5.0765924628044724E-2</v>
      </c>
      <c r="H66" s="347">
        <v>29.241172585753759</v>
      </c>
      <c r="I66" s="348">
        <v>50.4</v>
      </c>
      <c r="J66" s="723"/>
      <c r="K66" s="716" t="s">
        <v>324</v>
      </c>
      <c r="L66" s="267" t="str">
        <f t="shared" si="3"/>
        <v/>
      </c>
      <c r="M66" s="268">
        <f>IF(K66&lt;&gt;0,I66*(1+K$62),"")</f>
        <v>55.440000000000005</v>
      </c>
      <c r="N66" s="220"/>
      <c r="O66" s="354">
        <f t="shared" si="4"/>
        <v>480</v>
      </c>
      <c r="R66" s="355">
        <f t="shared" si="5"/>
        <v>528</v>
      </c>
      <c r="S66" s="491">
        <f>IF(G66&lt;&gt;0,AVERAGE('RFQ Data'!$D$13:$H$13)/G66,"-")</f>
        <v>9849.1262330674454</v>
      </c>
    </row>
    <row r="67" spans="1:19">
      <c r="A67" s="228" t="s">
        <v>360</v>
      </c>
      <c r="B67" s="229">
        <v>0</v>
      </c>
      <c r="C67" s="223">
        <v>0</v>
      </c>
      <c r="D67" s="136" t="s">
        <v>121</v>
      </c>
      <c r="E67" s="203">
        <v>0</v>
      </c>
      <c r="F67" s="226">
        <v>0</v>
      </c>
      <c r="G67" s="227">
        <v>0</v>
      </c>
      <c r="H67" s="349">
        <v>0</v>
      </c>
      <c r="I67" s="350">
        <v>0</v>
      </c>
      <c r="J67" s="724"/>
      <c r="K67" s="725"/>
      <c r="L67" s="306" t="str">
        <f t="shared" si="3"/>
        <v/>
      </c>
      <c r="M67" s="270" t="str">
        <f t="shared" si="2"/>
        <v/>
      </c>
      <c r="N67" s="219"/>
      <c r="O67" s="354">
        <f t="shared" si="4"/>
        <v>0</v>
      </c>
      <c r="R67" s="355">
        <f t="shared" si="5"/>
        <v>0</v>
      </c>
      <c r="S67" s="491" t="str">
        <f>IF(G67&lt;&gt;0,AVERAGE('RFQ Data'!$D$13:$H$13)/G67,"-")</f>
        <v>-</v>
      </c>
    </row>
    <row r="68" spans="1:19" ht="15" thickBot="1">
      <c r="A68" s="228" t="s">
        <v>361</v>
      </c>
      <c r="B68" s="229">
        <v>0</v>
      </c>
      <c r="C68" s="223">
        <v>1</v>
      </c>
      <c r="D68" s="136" t="s">
        <v>49</v>
      </c>
      <c r="E68" s="203">
        <v>5.9635470458595371E-3</v>
      </c>
      <c r="F68" s="226">
        <v>6.3804312068335228E-2</v>
      </c>
      <c r="G68" s="227">
        <v>0.14342344987637173</v>
      </c>
      <c r="H68" s="349">
        <v>27.537302376263373</v>
      </c>
      <c r="I68" s="351">
        <v>0</v>
      </c>
      <c r="J68" s="724"/>
      <c r="K68" s="726"/>
      <c r="L68" s="306" t="str">
        <f t="shared" si="3"/>
        <v/>
      </c>
      <c r="M68" s="271" t="str">
        <f t="shared" si="2"/>
        <v/>
      </c>
      <c r="N68" s="219"/>
      <c r="O68" s="354">
        <f t="shared" si="4"/>
        <v>160</v>
      </c>
      <c r="R68" s="355">
        <f t="shared" si="5"/>
        <v>176</v>
      </c>
      <c r="S68" s="491">
        <f>IF(G68&lt;&gt;0,AVERAGE('RFQ Data'!$D$13:$H$13)/G68,"-")</f>
        <v>3486.1802615331762</v>
      </c>
    </row>
    <row r="69" spans="1:19" ht="15" thickBot="1">
      <c r="A69" s="228" t="s">
        <v>362</v>
      </c>
      <c r="B69" s="229">
        <v>0</v>
      </c>
      <c r="C69" s="223">
        <v>0</v>
      </c>
      <c r="D69" s="136" t="s">
        <v>121</v>
      </c>
      <c r="E69" s="203">
        <v>0</v>
      </c>
      <c r="F69" s="226">
        <v>0</v>
      </c>
      <c r="G69" s="227">
        <v>0</v>
      </c>
      <c r="H69" s="349">
        <v>0</v>
      </c>
      <c r="I69" s="348">
        <v>0</v>
      </c>
      <c r="J69" s="723"/>
      <c r="K69" s="716" t="s">
        <v>324</v>
      </c>
      <c r="L69" s="269" t="str">
        <f t="shared" si="3"/>
        <v/>
      </c>
      <c r="M69" s="268">
        <f t="shared" si="2"/>
        <v>0</v>
      </c>
      <c r="N69" s="219"/>
      <c r="O69" s="354">
        <f t="shared" si="4"/>
        <v>0</v>
      </c>
      <c r="R69" s="355">
        <f t="shared" si="5"/>
        <v>0</v>
      </c>
      <c r="S69" s="491" t="str">
        <f>IF(G69&lt;&gt;0,AVERAGE('RFQ Data'!$D$13:$H$13)/G69,"-")</f>
        <v>-</v>
      </c>
    </row>
    <row r="70" spans="1:19" ht="15" thickBot="1">
      <c r="A70" s="590" t="s">
        <v>363</v>
      </c>
      <c r="B70" s="593">
        <v>0</v>
      </c>
      <c r="C70" s="223">
        <v>0</v>
      </c>
      <c r="D70" s="136" t="s">
        <v>121</v>
      </c>
      <c r="E70" s="203">
        <v>0</v>
      </c>
      <c r="F70" s="226">
        <v>0</v>
      </c>
      <c r="G70" s="227">
        <v>0</v>
      </c>
      <c r="H70" s="349">
        <v>0</v>
      </c>
      <c r="I70" s="352">
        <v>0</v>
      </c>
      <c r="J70" s="727"/>
      <c r="K70" s="459"/>
      <c r="L70" s="306" t="str">
        <f t="shared" si="3"/>
        <v/>
      </c>
      <c r="M70" s="272" t="str">
        <f t="shared" si="2"/>
        <v/>
      </c>
      <c r="N70" s="219"/>
      <c r="O70" s="354">
        <f t="shared" si="4"/>
        <v>0</v>
      </c>
      <c r="R70" s="355">
        <f t="shared" si="5"/>
        <v>0</v>
      </c>
      <c r="S70" s="491" t="str">
        <f>IF(G70&lt;&gt;0,AVERAGE('RFQ Data'!$D$13:$H$13)/G70,"-")</f>
        <v>-</v>
      </c>
    </row>
    <row r="71" spans="1:19" ht="15" thickBot="1">
      <c r="A71" s="590" t="s">
        <v>364</v>
      </c>
      <c r="B71" s="593">
        <v>0</v>
      </c>
      <c r="C71" s="223">
        <v>0</v>
      </c>
      <c r="D71" s="136" t="s">
        <v>121</v>
      </c>
      <c r="E71" s="203">
        <v>0</v>
      </c>
      <c r="F71" s="226">
        <v>0</v>
      </c>
      <c r="G71" s="227">
        <v>0</v>
      </c>
      <c r="H71" s="348">
        <v>0</v>
      </c>
      <c r="I71" s="348">
        <v>0</v>
      </c>
      <c r="J71" s="716" t="s">
        <v>324</v>
      </c>
      <c r="K71" s="716" t="s">
        <v>324</v>
      </c>
      <c r="L71" s="341">
        <f>IF(J71&lt;&gt;0,H71*(1+J$62),"")</f>
        <v>0</v>
      </c>
      <c r="M71" s="268">
        <f t="shared" si="2"/>
        <v>0</v>
      </c>
      <c r="N71" s="219" t="s">
        <v>365</v>
      </c>
      <c r="O71" s="354">
        <f t="shared" si="4"/>
        <v>0</v>
      </c>
      <c r="R71" s="355">
        <f t="shared" si="5"/>
        <v>0</v>
      </c>
      <c r="S71" s="491" t="str">
        <f>IF(G71&lt;&gt;0,AVERAGE('RFQ Data'!$D$13:$H$13)/G71,"-")</f>
        <v>-</v>
      </c>
    </row>
    <row r="72" spans="1:19">
      <c r="A72" s="590" t="s">
        <v>366</v>
      </c>
      <c r="B72" s="593">
        <v>0</v>
      </c>
      <c r="C72" s="223">
        <v>1</v>
      </c>
      <c r="D72" s="136" t="s">
        <v>49</v>
      </c>
      <c r="E72" s="203">
        <v>0.03</v>
      </c>
      <c r="F72" s="226">
        <v>3.462626262626263E-2</v>
      </c>
      <c r="G72" s="227">
        <v>5.0505050505050504E-2</v>
      </c>
      <c r="H72" s="349">
        <v>7.7575757575757569</v>
      </c>
      <c r="I72" s="350">
        <v>0</v>
      </c>
      <c r="J72" s="728"/>
      <c r="K72" s="725"/>
      <c r="L72" s="306" t="str">
        <f t="shared" si="3"/>
        <v/>
      </c>
      <c r="M72" s="270" t="str">
        <f t="shared" si="2"/>
        <v/>
      </c>
      <c r="N72" s="219"/>
      <c r="O72" s="354">
        <f t="shared" si="4"/>
        <v>128</v>
      </c>
      <c r="R72" s="355">
        <f t="shared" si="5"/>
        <v>140.80000000000001</v>
      </c>
      <c r="S72" s="491">
        <f>IF(G72&lt;&gt;0,AVERAGE('RFQ Data'!$D$13:$H$13)/G72,"-")</f>
        <v>9900</v>
      </c>
    </row>
    <row r="73" spans="1:19">
      <c r="A73" s="228" t="s">
        <v>367</v>
      </c>
      <c r="B73" s="229">
        <v>0</v>
      </c>
      <c r="C73" s="223">
        <v>0</v>
      </c>
      <c r="D73" s="136" t="s">
        <v>121</v>
      </c>
      <c r="E73" s="203">
        <v>0</v>
      </c>
      <c r="F73" s="226">
        <v>0</v>
      </c>
      <c r="G73" s="227">
        <v>0</v>
      </c>
      <c r="H73" s="349">
        <v>0</v>
      </c>
      <c r="I73" s="351">
        <v>0</v>
      </c>
      <c r="J73" s="724"/>
      <c r="K73" s="729"/>
      <c r="L73" s="306" t="str">
        <f t="shared" si="3"/>
        <v/>
      </c>
      <c r="M73" s="271" t="str">
        <f t="shared" si="2"/>
        <v/>
      </c>
      <c r="N73" s="219"/>
      <c r="O73" s="354">
        <f t="shared" si="4"/>
        <v>0</v>
      </c>
      <c r="R73" s="355">
        <f t="shared" si="5"/>
        <v>0</v>
      </c>
      <c r="S73" s="491" t="str">
        <f>IF(G73&lt;&gt;0,AVERAGE('RFQ Data'!$D$13:$H$13)/G73,"-")</f>
        <v>-</v>
      </c>
    </row>
    <row r="74" spans="1:19">
      <c r="A74" s="228" t="s">
        <v>368</v>
      </c>
      <c r="B74" s="229">
        <v>0</v>
      </c>
      <c r="C74" s="223">
        <v>0</v>
      </c>
      <c r="D74" s="136" t="s">
        <v>121</v>
      </c>
      <c r="E74" s="203">
        <v>0</v>
      </c>
      <c r="F74" s="226">
        <v>0</v>
      </c>
      <c r="G74" s="227">
        <v>0</v>
      </c>
      <c r="H74" s="349">
        <v>0</v>
      </c>
      <c r="I74" s="351">
        <v>0</v>
      </c>
      <c r="J74" s="724"/>
      <c r="K74" s="729"/>
      <c r="L74" s="306" t="str">
        <f t="shared" si="3"/>
        <v/>
      </c>
      <c r="M74" s="271" t="str">
        <f t="shared" si="2"/>
        <v/>
      </c>
      <c r="N74" s="219"/>
      <c r="O74" s="354">
        <f t="shared" si="4"/>
        <v>0</v>
      </c>
      <c r="R74" s="355">
        <f t="shared" si="5"/>
        <v>0</v>
      </c>
      <c r="S74" s="491" t="str">
        <f>IF(G74&lt;&gt;0,AVERAGE('RFQ Data'!$D$13:$H$13)/G74,"-")</f>
        <v>-</v>
      </c>
    </row>
    <row r="75" spans="1:19">
      <c r="A75" s="228" t="s">
        <v>369</v>
      </c>
      <c r="B75" s="229">
        <v>0</v>
      </c>
      <c r="C75" s="223">
        <v>0</v>
      </c>
      <c r="D75" s="136" t="s">
        <v>121</v>
      </c>
      <c r="E75" s="203">
        <v>0</v>
      </c>
      <c r="F75" s="226">
        <v>0</v>
      </c>
      <c r="G75" s="227">
        <v>0</v>
      </c>
      <c r="H75" s="349">
        <v>0</v>
      </c>
      <c r="I75" s="351">
        <v>0</v>
      </c>
      <c r="J75" s="724" t="s">
        <v>324</v>
      </c>
      <c r="K75" s="729"/>
      <c r="L75" s="306">
        <f t="shared" si="3"/>
        <v>0</v>
      </c>
      <c r="M75" s="271" t="str">
        <f t="shared" si="2"/>
        <v/>
      </c>
      <c r="N75" s="219"/>
      <c r="O75" s="354">
        <f t="shared" si="4"/>
        <v>0</v>
      </c>
      <c r="R75" s="355">
        <f t="shared" si="5"/>
        <v>0</v>
      </c>
      <c r="S75" s="491" t="str">
        <f>IF(G75&lt;&gt;0,AVERAGE('RFQ Data'!$D$13:$H$13)/G75,"-")</f>
        <v>-</v>
      </c>
    </row>
    <row r="76" spans="1:19">
      <c r="A76" s="228" t="s">
        <v>370</v>
      </c>
      <c r="B76" s="229">
        <v>0</v>
      </c>
      <c r="C76" s="223">
        <v>0</v>
      </c>
      <c r="D76" s="136" t="s">
        <v>121</v>
      </c>
      <c r="E76" s="203">
        <v>0</v>
      </c>
      <c r="F76" s="226">
        <v>0</v>
      </c>
      <c r="G76" s="227">
        <v>0</v>
      </c>
      <c r="H76" s="349">
        <v>0</v>
      </c>
      <c r="I76" s="351">
        <v>0</v>
      </c>
      <c r="J76" s="724"/>
      <c r="K76" s="729"/>
      <c r="L76" s="306" t="str">
        <f t="shared" si="3"/>
        <v/>
      </c>
      <c r="M76" s="271"/>
      <c r="N76" s="219"/>
      <c r="O76" s="354">
        <f t="shared" si="4"/>
        <v>0</v>
      </c>
      <c r="R76" s="355">
        <f t="shared" si="5"/>
        <v>0</v>
      </c>
      <c r="S76" s="491" t="str">
        <f>IF(G76&lt;&gt;0,AVERAGE('RFQ Data'!$D$13:$H$13)/G76,"-")</f>
        <v>-</v>
      </c>
    </row>
    <row r="77" spans="1:19" ht="15" thickBot="1">
      <c r="A77" s="228" t="s">
        <v>371</v>
      </c>
      <c r="B77" s="229">
        <v>0</v>
      </c>
      <c r="C77" s="223">
        <v>0</v>
      </c>
      <c r="D77" s="136" t="s">
        <v>121</v>
      </c>
      <c r="E77" s="203">
        <v>0</v>
      </c>
      <c r="F77" s="226">
        <v>0</v>
      </c>
      <c r="G77" s="227">
        <v>0</v>
      </c>
      <c r="H77" s="349">
        <v>0</v>
      </c>
      <c r="I77" s="352">
        <v>0</v>
      </c>
      <c r="J77" s="724"/>
      <c r="K77" s="726"/>
      <c r="L77" s="306" t="str">
        <f t="shared" si="3"/>
        <v/>
      </c>
      <c r="M77" s="272"/>
      <c r="N77" s="219"/>
      <c r="O77" s="354">
        <f t="shared" si="4"/>
        <v>0</v>
      </c>
      <c r="R77" s="355">
        <f t="shared" si="5"/>
        <v>0</v>
      </c>
      <c r="S77" s="491" t="str">
        <f>IF(G77&lt;&gt;0,AVERAGE('RFQ Data'!$D$13:$H$13)/G77,"-")</f>
        <v>-</v>
      </c>
    </row>
    <row r="78" spans="1:19" ht="15" thickBot="1">
      <c r="A78" s="228" t="s">
        <v>372</v>
      </c>
      <c r="B78" s="229">
        <v>0</v>
      </c>
      <c r="C78" s="223">
        <v>0</v>
      </c>
      <c r="D78" s="136" t="s">
        <v>121</v>
      </c>
      <c r="E78" s="203">
        <v>0</v>
      </c>
      <c r="F78" s="226">
        <v>0</v>
      </c>
      <c r="G78" s="227">
        <v>0</v>
      </c>
      <c r="H78" s="347">
        <v>0</v>
      </c>
      <c r="I78" s="348">
        <v>0</v>
      </c>
      <c r="J78" s="723"/>
      <c r="K78" s="716" t="s">
        <v>324</v>
      </c>
      <c r="L78" s="267" t="str">
        <f t="shared" si="3"/>
        <v/>
      </c>
      <c r="M78" s="268">
        <f t="shared" si="2"/>
        <v>0</v>
      </c>
      <c r="N78" s="219"/>
      <c r="O78" s="354">
        <f t="shared" si="4"/>
        <v>0</v>
      </c>
      <c r="R78" s="355">
        <f t="shared" si="5"/>
        <v>0</v>
      </c>
      <c r="S78" s="491" t="str">
        <f>IF(G78&lt;&gt;0,AVERAGE('RFQ Data'!$D$13:$H$13)/G78,"-")</f>
        <v>-</v>
      </c>
    </row>
    <row r="79" spans="1:19">
      <c r="A79" s="228" t="s">
        <v>373</v>
      </c>
      <c r="B79" s="229">
        <v>0</v>
      </c>
      <c r="C79" s="223">
        <v>0</v>
      </c>
      <c r="D79" s="136" t="s">
        <v>121</v>
      </c>
      <c r="E79" s="203">
        <v>0</v>
      </c>
      <c r="F79" s="226">
        <v>0</v>
      </c>
      <c r="G79" s="227">
        <v>0</v>
      </c>
      <c r="H79" s="349">
        <v>0</v>
      </c>
      <c r="I79" s="350">
        <v>0</v>
      </c>
      <c r="J79" s="724"/>
      <c r="K79" s="725"/>
      <c r="L79" s="306" t="str">
        <f t="shared" si="3"/>
        <v/>
      </c>
      <c r="M79" s="270" t="str">
        <f t="shared" si="2"/>
        <v/>
      </c>
      <c r="N79" s="219"/>
      <c r="O79" s="354">
        <f t="shared" si="4"/>
        <v>0</v>
      </c>
      <c r="R79" s="355">
        <f t="shared" si="5"/>
        <v>0</v>
      </c>
      <c r="S79" s="491" t="str">
        <f>IF(G79&lt;&gt;0,AVERAGE('RFQ Data'!$D$13:$H$13)/G79,"-")</f>
        <v>-</v>
      </c>
    </row>
    <row r="80" spans="1:19">
      <c r="A80" s="228" t="s">
        <v>374</v>
      </c>
      <c r="B80" s="229">
        <v>0</v>
      </c>
      <c r="C80" s="223">
        <v>0</v>
      </c>
      <c r="D80" s="136" t="s">
        <v>121</v>
      </c>
      <c r="E80" s="203">
        <v>0</v>
      </c>
      <c r="F80" s="226">
        <v>0</v>
      </c>
      <c r="G80" s="227">
        <v>0</v>
      </c>
      <c r="H80" s="349">
        <v>0</v>
      </c>
      <c r="I80" s="351">
        <v>0</v>
      </c>
      <c r="J80" s="724"/>
      <c r="K80" s="729"/>
      <c r="L80" s="306" t="str">
        <f t="shared" si="3"/>
        <v/>
      </c>
      <c r="M80" s="271" t="str">
        <f t="shared" si="2"/>
        <v/>
      </c>
      <c r="N80" s="219"/>
      <c r="O80" s="354">
        <f t="shared" si="4"/>
        <v>0</v>
      </c>
      <c r="R80" s="355">
        <f t="shared" si="5"/>
        <v>0</v>
      </c>
      <c r="S80" s="491" t="str">
        <f>IF(G80&lt;&gt;0,AVERAGE('RFQ Data'!$D$13:$H$13)/G80,"-")</f>
        <v>-</v>
      </c>
    </row>
    <row r="81" spans="1:27">
      <c r="A81" s="228" t="s">
        <v>375</v>
      </c>
      <c r="B81" s="229">
        <v>0</v>
      </c>
      <c r="C81" s="223">
        <v>0</v>
      </c>
      <c r="D81" s="136" t="s">
        <v>121</v>
      </c>
      <c r="E81" s="203">
        <v>0</v>
      </c>
      <c r="F81" s="226">
        <v>0</v>
      </c>
      <c r="G81" s="227">
        <v>0</v>
      </c>
      <c r="H81" s="349">
        <v>0</v>
      </c>
      <c r="I81" s="351">
        <v>0</v>
      </c>
      <c r="J81" s="724"/>
      <c r="K81" s="729"/>
      <c r="L81" s="306" t="str">
        <f t="shared" si="3"/>
        <v/>
      </c>
      <c r="M81" s="271" t="str">
        <f t="shared" si="2"/>
        <v/>
      </c>
      <c r="N81" s="219"/>
      <c r="O81" s="354">
        <f t="shared" si="4"/>
        <v>0</v>
      </c>
      <c r="R81" s="355">
        <f t="shared" si="5"/>
        <v>0</v>
      </c>
      <c r="S81" s="491" t="str">
        <f>IF(G81&lt;&gt;0,AVERAGE('RFQ Data'!$D$13:$H$13)/G81,"-")</f>
        <v>-</v>
      </c>
    </row>
    <row r="82" spans="1:27">
      <c r="A82" s="228" t="s">
        <v>376</v>
      </c>
      <c r="B82" s="229">
        <v>0</v>
      </c>
      <c r="C82" s="223">
        <v>0</v>
      </c>
      <c r="D82" s="136" t="s">
        <v>121</v>
      </c>
      <c r="E82" s="203">
        <v>0</v>
      </c>
      <c r="F82" s="226">
        <v>0</v>
      </c>
      <c r="G82" s="227">
        <v>0</v>
      </c>
      <c r="H82" s="349">
        <v>0</v>
      </c>
      <c r="I82" s="351">
        <v>0</v>
      </c>
      <c r="J82" s="724"/>
      <c r="K82" s="729"/>
      <c r="L82" s="306" t="str">
        <f t="shared" si="3"/>
        <v/>
      </c>
      <c r="M82" s="271" t="str">
        <f t="shared" si="2"/>
        <v/>
      </c>
      <c r="N82" s="219"/>
      <c r="O82" s="354">
        <f t="shared" si="4"/>
        <v>0</v>
      </c>
      <c r="R82" s="355">
        <f t="shared" si="5"/>
        <v>0</v>
      </c>
      <c r="S82" s="491" t="str">
        <f>IF(G82&lt;&gt;0,AVERAGE('RFQ Data'!$D$13:$H$13)/G82,"-")</f>
        <v>-</v>
      </c>
    </row>
    <row r="83" spans="1:27">
      <c r="A83" s="228" t="s">
        <v>377</v>
      </c>
      <c r="B83" s="229">
        <v>0</v>
      </c>
      <c r="C83" s="223">
        <v>0</v>
      </c>
      <c r="D83" s="136" t="s">
        <v>121</v>
      </c>
      <c r="E83" s="203">
        <v>0</v>
      </c>
      <c r="F83" s="226">
        <v>0</v>
      </c>
      <c r="G83" s="227">
        <v>0</v>
      </c>
      <c r="H83" s="349">
        <v>0</v>
      </c>
      <c r="I83" s="351">
        <v>0</v>
      </c>
      <c r="J83" s="724"/>
      <c r="K83" s="729"/>
      <c r="L83" s="306" t="str">
        <f t="shared" si="3"/>
        <v/>
      </c>
      <c r="M83" s="271" t="str">
        <f t="shared" si="2"/>
        <v/>
      </c>
      <c r="N83" s="219"/>
      <c r="O83" s="354">
        <f t="shared" si="4"/>
        <v>0</v>
      </c>
      <c r="R83" s="355">
        <f t="shared" si="5"/>
        <v>0</v>
      </c>
      <c r="S83" s="491" t="str">
        <f>IF(G83&lt;&gt;0,AVERAGE('RFQ Data'!$D$13:$H$13)/G83,"-")</f>
        <v>-</v>
      </c>
    </row>
    <row r="84" spans="1:27">
      <c r="A84" s="228" t="s">
        <v>378</v>
      </c>
      <c r="B84" s="229">
        <v>0</v>
      </c>
      <c r="C84" s="223">
        <v>0</v>
      </c>
      <c r="D84" s="136" t="s">
        <v>121</v>
      </c>
      <c r="E84" s="203">
        <v>0</v>
      </c>
      <c r="F84" s="226">
        <v>0</v>
      </c>
      <c r="G84" s="227">
        <v>0</v>
      </c>
      <c r="H84" s="349">
        <v>0</v>
      </c>
      <c r="I84" s="351">
        <v>0</v>
      </c>
      <c r="J84" s="724"/>
      <c r="K84" s="729"/>
      <c r="L84" s="306" t="str">
        <f t="shared" si="3"/>
        <v/>
      </c>
      <c r="M84" s="271" t="str">
        <f t="shared" si="2"/>
        <v/>
      </c>
      <c r="N84" s="219"/>
      <c r="O84" s="354">
        <f t="shared" si="4"/>
        <v>0</v>
      </c>
      <c r="R84" s="355">
        <f t="shared" si="5"/>
        <v>0</v>
      </c>
      <c r="S84" s="491" t="str">
        <f>IF(G84&lt;&gt;0,AVERAGE('RFQ Data'!$D$13:$H$13)/G84,"-")</f>
        <v>-</v>
      </c>
    </row>
    <row r="85" spans="1:27">
      <c r="A85" s="228" t="s">
        <v>379</v>
      </c>
      <c r="B85" s="229">
        <v>0</v>
      </c>
      <c r="C85" s="223">
        <v>0</v>
      </c>
      <c r="D85" s="136" t="s">
        <v>121</v>
      </c>
      <c r="E85" s="203">
        <v>0</v>
      </c>
      <c r="F85" s="226">
        <v>0</v>
      </c>
      <c r="G85" s="227">
        <v>0</v>
      </c>
      <c r="H85" s="349">
        <v>0</v>
      </c>
      <c r="I85" s="351">
        <v>0</v>
      </c>
      <c r="J85" s="724"/>
      <c r="K85" s="729"/>
      <c r="L85" s="306" t="str">
        <f t="shared" si="3"/>
        <v/>
      </c>
      <c r="M85" s="271" t="str">
        <f t="shared" si="2"/>
        <v/>
      </c>
      <c r="N85" s="219"/>
      <c r="O85" s="354">
        <f t="shared" si="4"/>
        <v>0</v>
      </c>
      <c r="R85" s="355">
        <f t="shared" si="5"/>
        <v>0</v>
      </c>
      <c r="S85" s="491" t="str">
        <f>IF(G85&lt;&gt;0,AVERAGE('RFQ Data'!$D$13:$H$13)/G85,"-")</f>
        <v>-</v>
      </c>
    </row>
    <row r="86" spans="1:27">
      <c r="A86" s="228" t="s">
        <v>380</v>
      </c>
      <c r="B86" s="229" t="s">
        <v>381</v>
      </c>
      <c r="C86" s="223">
        <v>0</v>
      </c>
      <c r="D86" s="136" t="s">
        <v>121</v>
      </c>
      <c r="E86" s="203">
        <v>0</v>
      </c>
      <c r="F86" s="226">
        <v>0</v>
      </c>
      <c r="G86" s="227">
        <v>0</v>
      </c>
      <c r="H86" s="349">
        <v>0</v>
      </c>
      <c r="I86" s="351">
        <v>0</v>
      </c>
      <c r="J86" s="724"/>
      <c r="K86" s="729"/>
      <c r="L86" s="306" t="str">
        <f t="shared" si="3"/>
        <v/>
      </c>
      <c r="M86" s="271" t="str">
        <f t="shared" si="2"/>
        <v/>
      </c>
      <c r="N86" s="219"/>
      <c r="O86" s="354">
        <f t="shared" si="4"/>
        <v>0</v>
      </c>
      <c r="R86" s="355">
        <f t="shared" si="5"/>
        <v>0</v>
      </c>
      <c r="S86" s="491" t="str">
        <f>IF(G86&lt;&gt;0,AVERAGE('RFQ Data'!$D$13:$H$13)/G86,"-")</f>
        <v>-</v>
      </c>
    </row>
    <row r="87" spans="1:27">
      <c r="A87" s="228" t="s">
        <v>382</v>
      </c>
      <c r="B87" s="229">
        <v>0</v>
      </c>
      <c r="C87" s="223">
        <v>0</v>
      </c>
      <c r="D87" s="136" t="s">
        <v>121</v>
      </c>
      <c r="E87" s="203">
        <v>0</v>
      </c>
      <c r="F87" s="226">
        <v>0</v>
      </c>
      <c r="G87" s="227">
        <v>0</v>
      </c>
      <c r="H87" s="349">
        <v>0</v>
      </c>
      <c r="I87" s="351">
        <v>0</v>
      </c>
      <c r="J87" s="724"/>
      <c r="K87" s="729"/>
      <c r="L87" s="306" t="str">
        <f t="shared" si="3"/>
        <v/>
      </c>
      <c r="M87" s="271" t="str">
        <f t="shared" si="2"/>
        <v/>
      </c>
      <c r="N87" s="219"/>
      <c r="O87" s="354">
        <f t="shared" si="4"/>
        <v>0</v>
      </c>
      <c r="R87" s="355">
        <f t="shared" si="5"/>
        <v>0</v>
      </c>
      <c r="S87" s="491" t="str">
        <f>IF(G87&lt;&gt;0,AVERAGE('RFQ Data'!$D$13:$H$13)/G87,"-")</f>
        <v>-</v>
      </c>
    </row>
    <row r="88" spans="1:27">
      <c r="A88" s="228" t="s">
        <v>383</v>
      </c>
      <c r="B88" s="229">
        <v>0</v>
      </c>
      <c r="C88" s="223">
        <v>0</v>
      </c>
      <c r="D88" s="136" t="s">
        <v>121</v>
      </c>
      <c r="E88" s="203">
        <v>0</v>
      </c>
      <c r="F88" s="226">
        <v>0</v>
      </c>
      <c r="G88" s="227">
        <v>0</v>
      </c>
      <c r="H88" s="349">
        <v>0</v>
      </c>
      <c r="I88" s="351">
        <v>0</v>
      </c>
      <c r="J88" s="724"/>
      <c r="K88" s="729"/>
      <c r="L88" s="306" t="str">
        <f t="shared" si="3"/>
        <v/>
      </c>
      <c r="M88" s="271"/>
      <c r="N88" s="219"/>
      <c r="O88" s="354">
        <f t="shared" si="4"/>
        <v>0</v>
      </c>
      <c r="R88" s="355">
        <f t="shared" si="5"/>
        <v>0</v>
      </c>
      <c r="S88" s="491" t="str">
        <f>IF(G88&lt;&gt;0,AVERAGE('RFQ Data'!$D$13:$H$13)/G88,"-")</f>
        <v>-</v>
      </c>
    </row>
    <row r="89" spans="1:27">
      <c r="A89" s="228" t="s">
        <v>384</v>
      </c>
      <c r="B89" s="229">
        <v>0</v>
      </c>
      <c r="C89" s="223">
        <v>0</v>
      </c>
      <c r="D89" s="136" t="s">
        <v>121</v>
      </c>
      <c r="E89" s="203">
        <v>0</v>
      </c>
      <c r="F89" s="226">
        <v>0</v>
      </c>
      <c r="G89" s="227">
        <v>0</v>
      </c>
      <c r="H89" s="349">
        <v>0</v>
      </c>
      <c r="I89" s="351">
        <v>0</v>
      </c>
      <c r="J89" s="724"/>
      <c r="K89" s="729"/>
      <c r="L89" s="306" t="str">
        <f t="shared" si="3"/>
        <v/>
      </c>
      <c r="M89" s="271" t="str">
        <f t="shared" si="2"/>
        <v/>
      </c>
      <c r="N89" s="219"/>
      <c r="O89" s="354">
        <f t="shared" si="4"/>
        <v>0</v>
      </c>
      <c r="R89" s="355">
        <f t="shared" si="5"/>
        <v>0</v>
      </c>
      <c r="S89" s="491" t="str">
        <f>IF(G89&lt;&gt;0,AVERAGE('RFQ Data'!$D$13:$H$13)/G89,"-")</f>
        <v>-</v>
      </c>
      <c r="X89">
        <v>1.4</v>
      </c>
    </row>
    <row r="90" spans="1:27">
      <c r="A90" s="228" t="s">
        <v>385</v>
      </c>
      <c r="B90" s="229">
        <v>0</v>
      </c>
      <c r="C90" s="223">
        <v>1</v>
      </c>
      <c r="D90" s="136" t="s">
        <v>49</v>
      </c>
      <c r="E90" s="203">
        <v>4.8382594417077174E-3</v>
      </c>
      <c r="F90" s="226">
        <v>5.4019085214487509E-3</v>
      </c>
      <c r="G90" s="227">
        <v>8.1452179153328579E-3</v>
      </c>
      <c r="H90" s="349">
        <v>0.15638818397439086</v>
      </c>
      <c r="I90" s="351">
        <v>0</v>
      </c>
      <c r="J90" s="724"/>
      <c r="K90" s="729"/>
      <c r="L90" s="306" t="str">
        <f t="shared" si="3"/>
        <v/>
      </c>
      <c r="M90" s="271" t="str">
        <f t="shared" si="2"/>
        <v/>
      </c>
      <c r="N90" s="219"/>
      <c r="O90" s="354">
        <f t="shared" si="4"/>
        <v>16</v>
      </c>
      <c r="R90" s="355">
        <f t="shared" si="5"/>
        <v>17.600000000000001</v>
      </c>
      <c r="S90" s="106" t="s">
        <v>357</v>
      </c>
    </row>
    <row r="91" spans="1:27" ht="15" thickBot="1">
      <c r="A91" s="232" t="s">
        <v>386</v>
      </c>
      <c r="B91" s="233">
        <v>0</v>
      </c>
      <c r="C91" s="223">
        <v>0</v>
      </c>
      <c r="D91" s="136" t="s">
        <v>121</v>
      </c>
      <c r="E91" s="203">
        <v>0</v>
      </c>
      <c r="F91" s="226">
        <v>0</v>
      </c>
      <c r="G91" s="227">
        <v>0</v>
      </c>
      <c r="H91" s="586">
        <v>0</v>
      </c>
      <c r="I91" s="587">
        <v>0</v>
      </c>
      <c r="J91" s="724"/>
      <c r="K91" s="729"/>
      <c r="L91" s="306" t="str">
        <f t="shared" si="3"/>
        <v/>
      </c>
      <c r="M91" s="271" t="str">
        <f t="shared" si="2"/>
        <v/>
      </c>
      <c r="N91" s="219"/>
      <c r="O91" s="354">
        <f t="shared" si="4"/>
        <v>0</v>
      </c>
      <c r="R91" s="355">
        <f t="shared" si="5"/>
        <v>0</v>
      </c>
      <c r="S91" s="106" t="s">
        <v>357</v>
      </c>
    </row>
    <row r="92" spans="1:27" ht="15" thickBot="1">
      <c r="A92" s="592" t="s">
        <v>387</v>
      </c>
      <c r="B92" s="591"/>
      <c r="D92" s="206"/>
      <c r="G92" s="6" t="s">
        <v>388</v>
      </c>
      <c r="H92" s="588">
        <v>0.2</v>
      </c>
      <c r="I92" s="107" t="s">
        <v>389</v>
      </c>
      <c r="L92" s="307">
        <f>SUM(L64:L91)</f>
        <v>0</v>
      </c>
      <c r="M92" s="273">
        <f>SUM(M64:M91)</f>
        <v>55.440000000000005</v>
      </c>
    </row>
    <row r="93" spans="1:27" ht="15.6">
      <c r="A93" s="234" t="s">
        <v>390</v>
      </c>
      <c r="B93" t="s">
        <v>391</v>
      </c>
      <c r="F93" s="234" t="s">
        <v>392</v>
      </c>
      <c r="L93" s="299"/>
      <c r="O93" s="463" t="s">
        <v>393</v>
      </c>
      <c r="P93" s="464"/>
      <c r="Q93" s="464"/>
      <c r="R93" s="464"/>
      <c r="S93" s="464"/>
      <c r="T93" s="464"/>
      <c r="U93" s="464"/>
      <c r="V93" s="465" t="s">
        <v>394</v>
      </c>
      <c r="W93" s="473">
        <f>K62</f>
        <v>0.1</v>
      </c>
      <c r="Y93" s="465" t="s">
        <v>394</v>
      </c>
      <c r="Z93" s="473">
        <v>0.1</v>
      </c>
    </row>
    <row r="94" spans="1:27">
      <c r="A94" t="s">
        <v>395</v>
      </c>
      <c r="B94" t="s">
        <v>396</v>
      </c>
      <c r="C94" s="235" t="s">
        <v>397</v>
      </c>
      <c r="D94" s="236" t="s">
        <v>398</v>
      </c>
      <c r="E94" s="107" t="s">
        <v>399</v>
      </c>
      <c r="H94" s="255" t="s">
        <v>400</v>
      </c>
      <c r="I94" s="493">
        <v>7</v>
      </c>
      <c r="J94" s="294"/>
      <c r="K94" s="294"/>
      <c r="L94" s="299" t="s">
        <v>401</v>
      </c>
      <c r="O94" s="464" t="s">
        <v>402</v>
      </c>
      <c r="P94" s="464"/>
      <c r="Q94" s="464"/>
      <c r="R94" s="464"/>
      <c r="S94" s="466" t="s">
        <v>403</v>
      </c>
      <c r="T94" s="464"/>
      <c r="U94" s="464"/>
      <c r="V94" s="467">
        <v>3021</v>
      </c>
      <c r="W94" s="94">
        <f>V94*(1+$W$93)</f>
        <v>3323.1000000000004</v>
      </c>
      <c r="X94" t="s">
        <v>61</v>
      </c>
      <c r="Y94" s="467">
        <f>3021*1.4</f>
        <v>4229.3999999999996</v>
      </c>
      <c r="Z94" s="94">
        <f>Y94*(1+$W$93)</f>
        <v>4652.34</v>
      </c>
      <c r="AA94" t="s">
        <v>64</v>
      </c>
    </row>
    <row r="95" spans="1:27">
      <c r="B95" t="s">
        <v>404</v>
      </c>
      <c r="D95" s="236">
        <v>5</v>
      </c>
      <c r="E95" s="107" t="s">
        <v>405</v>
      </c>
      <c r="H95" s="255" t="s">
        <v>406</v>
      </c>
      <c r="I95" s="493">
        <v>10</v>
      </c>
      <c r="J95" s="294"/>
      <c r="K95" s="294"/>
      <c r="L95" s="299" t="s">
        <v>401</v>
      </c>
      <c r="O95" t="s">
        <v>407</v>
      </c>
      <c r="P95" s="464"/>
      <c r="Q95" s="464"/>
      <c r="R95" s="464"/>
      <c r="S95" s="468" t="s">
        <v>408</v>
      </c>
      <c r="T95" s="468"/>
      <c r="U95" s="464"/>
      <c r="V95" s="467">
        <v>5426</v>
      </c>
      <c r="W95" s="94">
        <f>V95*(1+$W$93)</f>
        <v>5968.6</v>
      </c>
      <c r="X95" t="s">
        <v>61</v>
      </c>
      <c r="Y95" s="467">
        <f>5426*1.4</f>
        <v>7596.4</v>
      </c>
      <c r="Z95" s="94">
        <f>Y95*(1+$W$93)</f>
        <v>8356.0400000000009</v>
      </c>
      <c r="AA95" t="s">
        <v>64</v>
      </c>
    </row>
    <row r="96" spans="1:27">
      <c r="B96" t="s">
        <v>409</v>
      </c>
      <c r="D96" s="236">
        <v>42.6</v>
      </c>
      <c r="E96" s="107" t="s">
        <v>410</v>
      </c>
      <c r="H96" s="255" t="s">
        <v>411</v>
      </c>
      <c r="I96" s="493">
        <v>28</v>
      </c>
      <c r="J96" s="294"/>
      <c r="K96" s="294"/>
      <c r="L96" s="299" t="s">
        <v>401</v>
      </c>
      <c r="O96" s="464"/>
      <c r="P96" s="464"/>
      <c r="Q96" s="464"/>
      <c r="R96" s="464"/>
      <c r="S96" s="469" t="s">
        <v>412</v>
      </c>
      <c r="T96" s="469"/>
      <c r="U96" s="469"/>
      <c r="V96" s="467">
        <v>6300</v>
      </c>
      <c r="W96" s="94">
        <f>V96*(1+$W$93)</f>
        <v>6930.0000000000009</v>
      </c>
      <c r="X96" t="s">
        <v>61</v>
      </c>
      <c r="Y96" s="467">
        <f>6300*1.4</f>
        <v>8820</v>
      </c>
      <c r="Z96" s="94">
        <f>Y96*(1+$W$93)</f>
        <v>9702</v>
      </c>
      <c r="AA96" t="s">
        <v>64</v>
      </c>
    </row>
    <row r="97" spans="1:28">
      <c r="B97" t="s">
        <v>413</v>
      </c>
      <c r="D97" s="237">
        <v>83.495999999999995</v>
      </c>
      <c r="E97" s="107" t="s">
        <v>414</v>
      </c>
      <c r="H97" s="255" t="s">
        <v>415</v>
      </c>
      <c r="I97" s="493">
        <v>1.5</v>
      </c>
      <c r="J97" s="294"/>
      <c r="K97" s="294"/>
      <c r="L97" s="299" t="s">
        <v>416</v>
      </c>
      <c r="O97" s="464" t="s">
        <v>417</v>
      </c>
      <c r="P97" s="464"/>
      <c r="Q97" s="464"/>
      <c r="R97" s="464"/>
      <c r="S97" s="470" t="s">
        <v>418</v>
      </c>
      <c r="T97" s="470" t="s">
        <v>419</v>
      </c>
      <c r="U97" s="470" t="s">
        <v>420</v>
      </c>
      <c r="V97" s="464"/>
      <c r="Y97" s="470" t="s">
        <v>418</v>
      </c>
      <c r="Z97" s="470" t="s">
        <v>419</v>
      </c>
      <c r="AA97" s="470" t="s">
        <v>420</v>
      </c>
      <c r="AB97" s="464"/>
    </row>
    <row r="98" spans="1:28">
      <c r="B98" t="s">
        <v>421</v>
      </c>
      <c r="D98" s="237">
        <v>417.47999999999996</v>
      </c>
      <c r="E98" s="107" t="s">
        <v>414</v>
      </c>
      <c r="H98" s="255" t="s">
        <v>422</v>
      </c>
      <c r="I98" s="493">
        <v>41</v>
      </c>
      <c r="J98" s="294"/>
      <c r="K98" s="294"/>
      <c r="L98" s="299" t="s">
        <v>401</v>
      </c>
      <c r="O98" s="464"/>
      <c r="P98" s="464"/>
      <c r="Q98" s="464"/>
      <c r="R98" s="464"/>
      <c r="S98" s="464"/>
      <c r="T98" s="464"/>
      <c r="U98" s="464"/>
      <c r="V98" s="464"/>
      <c r="Y98" s="464"/>
      <c r="Z98" s="464"/>
      <c r="AA98" s="464"/>
      <c r="AB98" s="464"/>
    </row>
    <row r="99" spans="1:28">
      <c r="B99" t="s">
        <v>423</v>
      </c>
      <c r="D99" s="238">
        <v>8.377778826638977</v>
      </c>
      <c r="E99" s="107" t="s">
        <v>424</v>
      </c>
      <c r="H99" s="255" t="s">
        <v>425</v>
      </c>
      <c r="I99" s="256" t="s">
        <v>426</v>
      </c>
      <c r="J99" s="294"/>
      <c r="K99" s="294"/>
      <c r="L99" s="299"/>
      <c r="O99" s="471" t="s">
        <v>427</v>
      </c>
      <c r="P99" s="464"/>
      <c r="Q99" s="464"/>
      <c r="R99" s="464"/>
      <c r="S99">
        <f>SUM(S100:S110)</f>
        <v>3021</v>
      </c>
      <c r="T99">
        <f>SUM(T100:T108)</f>
        <v>2405</v>
      </c>
      <c r="U99">
        <f>SUM(U100:U108)</f>
        <v>874</v>
      </c>
      <c r="V99" s="464"/>
      <c r="Y99">
        <f>SUM(Y100:Y110)</f>
        <v>4229.3999999999996</v>
      </c>
      <c r="Z99">
        <f t="shared" ref="Z99:AA99" si="6">SUM(Z100:Z110)</f>
        <v>3367</v>
      </c>
      <c r="AA99">
        <f t="shared" si="6"/>
        <v>1223.5999999999999</v>
      </c>
      <c r="AB99" s="464"/>
    </row>
    <row r="100" spans="1:28">
      <c r="B100" t="s">
        <v>428</v>
      </c>
      <c r="C100" s="356">
        <v>0.71249999999999991</v>
      </c>
      <c r="D100" s="237">
        <v>358.1500448388162</v>
      </c>
      <c r="E100" s="107" t="s">
        <v>429</v>
      </c>
      <c r="H100" s="255" t="s">
        <v>430</v>
      </c>
      <c r="I100" s="257" t="s">
        <v>406</v>
      </c>
      <c r="J100" s="294"/>
      <c r="K100" s="294"/>
      <c r="L100" s="299"/>
      <c r="O100" s="471" t="s">
        <v>431</v>
      </c>
      <c r="P100" s="464"/>
      <c r="Q100" s="464"/>
      <c r="R100" s="464"/>
      <c r="S100" s="464"/>
      <c r="T100" s="464"/>
      <c r="U100" s="464"/>
      <c r="V100" s="464"/>
      <c r="Y100" s="464"/>
      <c r="Z100" s="464"/>
      <c r="AA100" s="464"/>
      <c r="AB100" s="464"/>
    </row>
    <row r="101" spans="1:28">
      <c r="A101" t="s">
        <v>432</v>
      </c>
      <c r="B101" t="s">
        <v>433</v>
      </c>
      <c r="D101" s="236" t="s">
        <v>434</v>
      </c>
      <c r="E101" s="107" t="s">
        <v>399</v>
      </c>
      <c r="H101" s="255" t="s">
        <v>435</v>
      </c>
      <c r="I101" s="570" t="s">
        <v>22</v>
      </c>
      <c r="J101" s="294"/>
      <c r="K101" s="294"/>
      <c r="L101" s="299"/>
      <c r="O101" s="471" t="s">
        <v>436</v>
      </c>
      <c r="P101" s="464"/>
      <c r="Q101" s="464"/>
      <c r="R101" s="464">
        <f>1531*1.4</f>
        <v>2143.4</v>
      </c>
      <c r="S101" s="464">
        <v>1531</v>
      </c>
      <c r="T101" s="464">
        <v>1531</v>
      </c>
      <c r="U101" s="464"/>
      <c r="V101" s="464"/>
      <c r="Y101" s="464">
        <f>S101*$X$89</f>
        <v>2143.4</v>
      </c>
      <c r="Z101" s="464">
        <f t="shared" ref="Z101:Z108" si="7">T101*X$89</f>
        <v>2143.4</v>
      </c>
      <c r="AA101" s="464">
        <f t="shared" ref="AA101:AA108" si="8">U101*X$89</f>
        <v>0</v>
      </c>
      <c r="AB101" s="464"/>
    </row>
    <row r="102" spans="1:28">
      <c r="B102" t="s">
        <v>437</v>
      </c>
      <c r="D102" s="239">
        <v>24</v>
      </c>
      <c r="E102" s="107" t="s">
        <v>438</v>
      </c>
      <c r="H102" s="284" t="s">
        <v>439</v>
      </c>
      <c r="I102" s="570" t="s">
        <v>15</v>
      </c>
      <c r="J102" s="294"/>
      <c r="K102" s="294"/>
      <c r="L102" s="299"/>
      <c r="O102" s="471" t="s">
        <v>440</v>
      </c>
      <c r="P102" s="464"/>
      <c r="Q102" s="464"/>
      <c r="R102" s="464"/>
      <c r="S102" s="464">
        <v>231</v>
      </c>
      <c r="T102" s="464">
        <v>231</v>
      </c>
      <c r="U102" s="464">
        <v>231</v>
      </c>
      <c r="V102" s="464"/>
      <c r="Y102" s="464">
        <f t="shared" ref="Y102:Y110" si="9">S102*X$89</f>
        <v>323.39999999999998</v>
      </c>
      <c r="Z102" s="464">
        <f t="shared" si="7"/>
        <v>323.39999999999998</v>
      </c>
      <c r="AA102" s="464">
        <f t="shared" si="8"/>
        <v>323.39999999999998</v>
      </c>
      <c r="AB102" s="464"/>
    </row>
    <row r="103" spans="1:28">
      <c r="B103" t="s">
        <v>441</v>
      </c>
      <c r="C103" s="240" t="s">
        <v>434</v>
      </c>
      <c r="D103" s="241">
        <v>2173.2032799167855</v>
      </c>
      <c r="E103" s="107" t="s">
        <v>442</v>
      </c>
      <c r="H103" s="255" t="s">
        <v>443</v>
      </c>
      <c r="I103" s="570" t="s">
        <v>444</v>
      </c>
      <c r="J103" s="294"/>
      <c r="K103" s="294"/>
      <c r="L103" s="299"/>
      <c r="O103" s="472"/>
      <c r="P103" s="464"/>
      <c r="Q103" s="464"/>
      <c r="R103" s="464">
        <f>231*1.465</f>
        <v>338.41500000000002</v>
      </c>
      <c r="S103" s="464"/>
      <c r="T103" s="464"/>
      <c r="U103" s="464"/>
      <c r="V103" s="464"/>
      <c r="Y103" s="464">
        <f t="shared" si="9"/>
        <v>0</v>
      </c>
      <c r="Z103" s="464">
        <f t="shared" si="7"/>
        <v>0</v>
      </c>
      <c r="AA103" s="464">
        <f t="shared" si="8"/>
        <v>0</v>
      </c>
      <c r="AB103" s="464"/>
    </row>
    <row r="104" spans="1:28">
      <c r="B104" t="s">
        <v>445</v>
      </c>
      <c r="C104" s="240" t="s">
        <v>434</v>
      </c>
      <c r="D104" s="241">
        <v>15212.422959417498</v>
      </c>
      <c r="E104" s="107" t="s">
        <v>446</v>
      </c>
      <c r="H104" s="255" t="s">
        <v>447</v>
      </c>
      <c r="I104" s="258" t="s">
        <v>448</v>
      </c>
      <c r="J104" s="294"/>
      <c r="K104" s="294"/>
      <c r="O104" s="471" t="s">
        <v>449</v>
      </c>
      <c r="P104" s="464"/>
      <c r="Q104" s="464"/>
      <c r="R104" s="464"/>
      <c r="S104" s="464">
        <v>329</v>
      </c>
      <c r="T104" s="464">
        <v>329</v>
      </c>
      <c r="U104" s="464">
        <v>329</v>
      </c>
      <c r="V104" s="464"/>
      <c r="Y104" s="464">
        <f t="shared" si="9"/>
        <v>460.59999999999997</v>
      </c>
      <c r="Z104" s="464">
        <f t="shared" si="7"/>
        <v>460.59999999999997</v>
      </c>
      <c r="AA104" s="464">
        <f t="shared" si="8"/>
        <v>460.59999999999997</v>
      </c>
      <c r="AB104" s="464"/>
    </row>
    <row r="105" spans="1:28">
      <c r="A105" t="s">
        <v>450</v>
      </c>
      <c r="B105" t="s">
        <v>451</v>
      </c>
      <c r="D105" s="239">
        <v>3803.1057398543744</v>
      </c>
      <c r="H105" s="255" t="s">
        <v>452</v>
      </c>
      <c r="I105" s="258" t="s">
        <v>253</v>
      </c>
      <c r="J105" s="294"/>
      <c r="K105" s="294"/>
      <c r="L105" s="299"/>
      <c r="O105" s="471"/>
      <c r="P105" s="464"/>
      <c r="Q105" s="464"/>
      <c r="R105" s="464">
        <f>329*1.465</f>
        <v>481.98500000000001</v>
      </c>
      <c r="S105" s="464"/>
      <c r="T105" s="464"/>
      <c r="U105" s="464"/>
      <c r="V105" s="464"/>
      <c r="Y105" s="464">
        <f t="shared" si="9"/>
        <v>0</v>
      </c>
      <c r="Z105" s="464">
        <f t="shared" si="7"/>
        <v>0</v>
      </c>
      <c r="AA105" s="464">
        <f t="shared" si="8"/>
        <v>0</v>
      </c>
      <c r="AB105" s="464"/>
    </row>
    <row r="106" spans="1:28">
      <c r="B106" t="s">
        <v>437</v>
      </c>
      <c r="D106" s="239">
        <v>1</v>
      </c>
      <c r="H106" s="255" t="s">
        <v>453</v>
      </c>
      <c r="I106" s="570">
        <v>0.42</v>
      </c>
      <c r="J106" s="294"/>
      <c r="K106" s="294"/>
      <c r="L106" s="589"/>
      <c r="O106" s="471" t="s">
        <v>454</v>
      </c>
      <c r="P106" s="464"/>
      <c r="Q106" s="464"/>
      <c r="R106" s="464"/>
      <c r="S106" s="464">
        <v>218</v>
      </c>
      <c r="T106" s="464">
        <v>218</v>
      </c>
      <c r="U106" s="464">
        <v>218</v>
      </c>
      <c r="V106" s="464"/>
      <c r="Y106" s="464">
        <f t="shared" si="9"/>
        <v>305.2</v>
      </c>
      <c r="Z106" s="464">
        <f t="shared" si="7"/>
        <v>305.2</v>
      </c>
      <c r="AA106" s="464">
        <f t="shared" si="8"/>
        <v>305.2</v>
      </c>
      <c r="AB106" s="464"/>
    </row>
    <row r="107" spans="1:28">
      <c r="A107" t="s">
        <v>455</v>
      </c>
      <c r="B107" t="s">
        <v>456</v>
      </c>
      <c r="D107" s="239">
        <v>2173.2032799167855</v>
      </c>
      <c r="H107" s="255" t="s">
        <v>457</v>
      </c>
      <c r="I107" s="570">
        <v>0</v>
      </c>
      <c r="J107" s="294"/>
      <c r="K107" s="294"/>
      <c r="L107" s="243"/>
      <c r="O107" s="471"/>
      <c r="P107" s="464"/>
      <c r="Q107" s="464"/>
      <c r="R107" s="464">
        <f>218*1.465</f>
        <v>319.37</v>
      </c>
      <c r="S107" s="464"/>
      <c r="T107" s="464"/>
      <c r="U107" s="464"/>
      <c r="V107" s="464"/>
      <c r="Y107" s="464">
        <f t="shared" si="9"/>
        <v>0</v>
      </c>
      <c r="Z107" s="464">
        <f t="shared" si="7"/>
        <v>0</v>
      </c>
      <c r="AA107" s="464">
        <f t="shared" si="8"/>
        <v>0</v>
      </c>
      <c r="AB107" s="464"/>
    </row>
    <row r="108" spans="1:28">
      <c r="B108" t="s">
        <v>437</v>
      </c>
      <c r="D108" s="239">
        <v>4</v>
      </c>
      <c r="H108" s="255" t="s">
        <v>458</v>
      </c>
      <c r="I108" s="570">
        <v>0</v>
      </c>
      <c r="J108" s="294"/>
      <c r="K108" s="294"/>
      <c r="O108" s="471" t="s">
        <v>459</v>
      </c>
      <c r="P108" s="464"/>
      <c r="Q108" s="464"/>
      <c r="R108" s="464"/>
      <c r="S108" s="464">
        <v>96</v>
      </c>
      <c r="T108" s="464">
        <v>96</v>
      </c>
      <c r="U108" s="464">
        <v>96</v>
      </c>
      <c r="V108" s="464"/>
      <c r="Y108" s="464">
        <f t="shared" si="9"/>
        <v>134.39999999999998</v>
      </c>
      <c r="Z108" s="464">
        <f t="shared" si="7"/>
        <v>134.39999999999998</v>
      </c>
      <c r="AA108" s="464">
        <f t="shared" si="8"/>
        <v>134.39999999999998</v>
      </c>
      <c r="AB108" s="464"/>
    </row>
    <row r="109" spans="1:28">
      <c r="A109" t="s">
        <v>460</v>
      </c>
      <c r="B109" t="s">
        <v>461</v>
      </c>
      <c r="D109" s="236">
        <v>7.0000000000000001E-3</v>
      </c>
      <c r="E109" s="107" t="s">
        <v>462</v>
      </c>
      <c r="H109" s="255" t="s">
        <v>463</v>
      </c>
      <c r="I109" s="690" t="s">
        <v>464</v>
      </c>
      <c r="J109" s="294"/>
      <c r="K109" s="294"/>
      <c r="O109" s="471"/>
      <c r="P109" s="464"/>
      <c r="Q109" s="464"/>
      <c r="R109" s="464">
        <f>96*1.465</f>
        <v>140.64000000000001</v>
      </c>
      <c r="S109" s="464"/>
      <c r="T109" s="464"/>
      <c r="U109" s="464"/>
      <c r="V109" s="464"/>
      <c r="Y109" s="464">
        <f t="shared" si="9"/>
        <v>0</v>
      </c>
      <c r="Z109" s="464"/>
      <c r="AA109" s="464"/>
      <c r="AB109" s="464"/>
    </row>
    <row r="110" spans="1:28">
      <c r="B110" t="s">
        <v>465</v>
      </c>
      <c r="D110" s="236">
        <v>0.85</v>
      </c>
      <c r="E110" s="107" t="s">
        <v>114</v>
      </c>
      <c r="O110" s="471" t="s">
        <v>466</v>
      </c>
      <c r="P110" s="464"/>
      <c r="Q110" s="464"/>
      <c r="R110" s="464"/>
      <c r="S110" s="464">
        <v>616</v>
      </c>
      <c r="T110" s="464"/>
      <c r="U110" s="464"/>
      <c r="V110" s="464"/>
      <c r="Y110" s="464">
        <f t="shared" si="9"/>
        <v>862.4</v>
      </c>
      <c r="Z110" s="464"/>
      <c r="AA110" s="464"/>
      <c r="AB110" s="464"/>
    </row>
    <row r="111" spans="1:28">
      <c r="B111" t="s">
        <v>467</v>
      </c>
      <c r="D111" s="239">
        <v>765</v>
      </c>
      <c r="E111" s="107" t="s">
        <v>468</v>
      </c>
      <c r="H111" t="s">
        <v>469</v>
      </c>
      <c r="I111" s="295">
        <v>0.04</v>
      </c>
      <c r="J111" s="294"/>
      <c r="K111" s="294"/>
      <c r="L111" s="299"/>
    </row>
    <row r="112" spans="1:28">
      <c r="A112" t="s">
        <v>470</v>
      </c>
      <c r="B112" t="s">
        <v>471</v>
      </c>
      <c r="D112" s="236" t="s">
        <v>472</v>
      </c>
      <c r="E112" s="107" t="s">
        <v>399</v>
      </c>
      <c r="H112" s="6" t="s">
        <v>473</v>
      </c>
      <c r="I112" s="256">
        <v>4</v>
      </c>
      <c r="J112" s="294"/>
      <c r="K112" s="294"/>
      <c r="L112" s="299"/>
    </row>
    <row r="113" spans="1:12">
      <c r="B113" t="s">
        <v>474</v>
      </c>
      <c r="D113" s="236">
        <v>6</v>
      </c>
      <c r="E113" s="107" t="s">
        <v>475</v>
      </c>
      <c r="L113" s="299"/>
    </row>
    <row r="114" spans="1:12">
      <c r="B114" t="s">
        <v>476</v>
      </c>
      <c r="C114" s="240" t="s">
        <v>472</v>
      </c>
      <c r="D114" s="241">
        <v>1116.1038520278296</v>
      </c>
      <c r="E114" s="107" t="s">
        <v>405</v>
      </c>
      <c r="H114" s="492" t="s">
        <v>477</v>
      </c>
      <c r="I114" s="493">
        <v>6.2290881816000008</v>
      </c>
      <c r="J114" s="294"/>
      <c r="K114" s="294"/>
      <c r="L114" s="299" t="s">
        <v>478</v>
      </c>
    </row>
    <row r="115" spans="1:12">
      <c r="B115" t="s">
        <v>479</v>
      </c>
      <c r="C115" s="240"/>
      <c r="D115" s="236" t="s">
        <v>480</v>
      </c>
      <c r="E115" s="107" t="s">
        <v>399</v>
      </c>
      <c r="L115" s="299"/>
    </row>
    <row r="116" spans="1:12">
      <c r="B116" t="s">
        <v>481</v>
      </c>
      <c r="C116" s="240" t="s">
        <v>480</v>
      </c>
      <c r="D116" s="241">
        <v>33483.115560834893</v>
      </c>
      <c r="E116" s="107" t="s">
        <v>405</v>
      </c>
      <c r="H116" s="284" t="s">
        <v>482</v>
      </c>
      <c r="I116" s="656">
        <v>13000</v>
      </c>
      <c r="J116" s="294" t="s">
        <v>185</v>
      </c>
      <c r="K116" s="294"/>
      <c r="L116" s="299"/>
    </row>
    <row r="117" spans="1:12">
      <c r="B117" t="s">
        <v>483</v>
      </c>
      <c r="C117" s="242"/>
      <c r="D117" s="241">
        <v>223.56927942314371</v>
      </c>
      <c r="E117" s="107" t="s">
        <v>484</v>
      </c>
      <c r="H117" t="s">
        <v>485</v>
      </c>
      <c r="I117">
        <v>0</v>
      </c>
    </row>
    <row r="118" spans="1:12">
      <c r="B118" s="204"/>
      <c r="C118" s="205"/>
      <c r="D118" s="206"/>
      <c r="F118" s="206"/>
      <c r="H118" s="207"/>
    </row>
    <row r="119" spans="1:12">
      <c r="B119" s="204"/>
      <c r="C119" s="205"/>
      <c r="D119" s="206"/>
      <c r="F119" s="206"/>
      <c r="H119" s="207"/>
    </row>
    <row r="120" spans="1:12">
      <c r="B120" s="204"/>
      <c r="C120" s="205"/>
      <c r="D120" s="206"/>
      <c r="F120" s="206"/>
      <c r="H120" s="207"/>
    </row>
    <row r="121" spans="1:12">
      <c r="A121" s="243"/>
      <c r="B121" s="204"/>
      <c r="C121" s="205"/>
      <c r="D121" s="206"/>
      <c r="F121" s="206"/>
      <c r="H121" s="207"/>
    </row>
    <row r="122" spans="1:12">
      <c r="B122" s="204"/>
      <c r="C122" s="205"/>
      <c r="D122" s="206"/>
      <c r="F122" s="206"/>
      <c r="H122" s="207"/>
    </row>
    <row r="123" spans="1:12">
      <c r="B123" s="204"/>
      <c r="C123" s="205"/>
      <c r="D123" s="206"/>
      <c r="F123" s="206"/>
      <c r="H123" s="207"/>
    </row>
  </sheetData>
  <pageMargins left="0.23622047244094491" right="0.23622047244094491" top="0.35433070866141736" bottom="0.35433070866141736" header="0.31496062992125984" footer="0.31496062992125984"/>
  <pageSetup paperSize="9" scale="61" fitToHeight="0" orientation="landscape" r:id="rId1"/>
  <rowBreaks count="2" manualBreakCount="2">
    <brk id="58" max="16383" man="1"/>
    <brk id="11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8202-4ACF-4AF3-B1D8-F91D051C69A1}">
  <sheetPr codeName="Feuil6"/>
  <dimension ref="A1:P50"/>
  <sheetViews>
    <sheetView showGridLines="0" zoomScale="112" zoomScaleNormal="112" workbookViewId="0">
      <selection activeCell="C5" sqref="C5"/>
    </sheetView>
  </sheetViews>
  <sheetFormatPr defaultColWidth="10.5703125" defaultRowHeight="14.45"/>
  <cols>
    <col min="1" max="1" width="3.42578125" customWidth="1"/>
    <col min="3" max="3" width="22.42578125" customWidth="1"/>
    <col min="4" max="6" width="13.5703125" customWidth="1"/>
    <col min="7" max="7" width="4.42578125" customWidth="1"/>
    <col min="10" max="10" width="11.42578125" bestFit="1" customWidth="1"/>
  </cols>
  <sheetData>
    <row r="1" spans="1:14" ht="18.600000000000001">
      <c r="A1" s="639"/>
      <c r="B1" s="640" t="s">
        <v>486</v>
      </c>
      <c r="C1" s="641"/>
      <c r="D1" s="641"/>
      <c r="E1" s="641"/>
      <c r="F1" s="641"/>
      <c r="G1" s="639"/>
      <c r="H1" s="651" t="s">
        <v>487</v>
      </c>
      <c r="M1" s="6"/>
      <c r="N1" s="6"/>
    </row>
    <row r="2" spans="1:14" ht="15.6">
      <c r="A2" s="639"/>
      <c r="B2" s="644" t="s">
        <v>488</v>
      </c>
      <c r="C2" s="645"/>
      <c r="D2" s="645"/>
      <c r="E2" s="645"/>
      <c r="F2" s="645"/>
      <c r="G2" s="639"/>
      <c r="H2" s="243" t="s">
        <v>489</v>
      </c>
    </row>
    <row r="3" spans="1:14">
      <c r="A3" s="639"/>
      <c r="C3" s="646" t="s">
        <v>490</v>
      </c>
      <c r="D3" s="647"/>
      <c r="E3" s="647"/>
      <c r="G3" s="639"/>
      <c r="H3" s="208" t="s">
        <v>491</v>
      </c>
    </row>
    <row r="4" spans="1:14">
      <c r="A4" s="639"/>
      <c r="C4" s="208" t="s">
        <v>492</v>
      </c>
      <c r="D4" s="208" t="s">
        <v>493</v>
      </c>
      <c r="G4" s="639"/>
      <c r="H4" t="s">
        <v>494</v>
      </c>
    </row>
    <row r="5" spans="1:14">
      <c r="A5" s="639"/>
      <c r="C5" s="660" t="s">
        <v>61</v>
      </c>
      <c r="D5" s="6" t="s">
        <v>495</v>
      </c>
      <c r="E5" s="658">
        <f>'PROCESS &amp; CAPEX'!I94</f>
        <v>7</v>
      </c>
      <c r="G5" s="639"/>
      <c r="H5" t="s">
        <v>496</v>
      </c>
      <c r="J5" s="652">
        <v>2100</v>
      </c>
      <c r="K5" t="s">
        <v>497</v>
      </c>
      <c r="L5" s="243" t="s">
        <v>498</v>
      </c>
    </row>
    <row r="6" spans="1:14">
      <c r="A6" s="639"/>
      <c r="C6" s="613">
        <f>HLOOKUP(C5,$J$7:$N$8,2,0)/J8</f>
        <v>1</v>
      </c>
      <c r="D6" s="6" t="s">
        <v>499</v>
      </c>
      <c r="E6" s="658">
        <f>'PROCESS &amp; CAPEX'!I95</f>
        <v>10</v>
      </c>
      <c r="G6" s="639"/>
      <c r="I6" t="s">
        <v>500</v>
      </c>
    </row>
    <row r="7" spans="1:14">
      <c r="A7" s="639"/>
      <c r="D7" s="6" t="s">
        <v>501</v>
      </c>
      <c r="E7" s="658">
        <f>'PROCESS &amp; CAPEX'!I96</f>
        <v>28</v>
      </c>
      <c r="G7" s="639"/>
      <c r="H7" s="208"/>
      <c r="I7" s="653"/>
      <c r="J7" s="653" t="s">
        <v>61</v>
      </c>
      <c r="K7" s="653" t="s">
        <v>27</v>
      </c>
      <c r="L7" s="653" t="s">
        <v>62</v>
      </c>
      <c r="M7" s="653" t="s">
        <v>63</v>
      </c>
      <c r="N7" s="654" t="s">
        <v>64</v>
      </c>
    </row>
    <row r="8" spans="1:14">
      <c r="A8" s="639"/>
      <c r="F8" s="669" t="s">
        <v>502</v>
      </c>
      <c r="G8" s="639"/>
      <c r="I8" s="655" t="str">
        <f>QuotingCUR</f>
        <v>RMB</v>
      </c>
      <c r="J8" s="659">
        <f>'RFQ Data'!H22</f>
        <v>0.125</v>
      </c>
      <c r="K8" s="659">
        <f>'RFQ Data'!I22</f>
        <v>1</v>
      </c>
      <c r="L8" s="659">
        <f>'RFQ Data'!J22</f>
        <v>0.13750000000000001</v>
      </c>
      <c r="M8" s="659">
        <f>'RFQ Data'!K22</f>
        <v>11.875</v>
      </c>
      <c r="N8" s="659">
        <f>'RFQ Data'!L22</f>
        <v>0.19500000000000001</v>
      </c>
    </row>
    <row r="9" spans="1:14">
      <c r="A9" s="639"/>
      <c r="D9" s="6" t="s">
        <v>503</v>
      </c>
      <c r="E9" s="667">
        <f>IF(F9&lt;&gt;"",F9,(PRICE_inCUR-SUM(D10:D15))*_xlfn.XLOOKUP(C5,J7:N7,J8:N8,1,0,))</f>
        <v>0.16664167053492737</v>
      </c>
      <c r="F9" s="529"/>
      <c r="G9" s="639"/>
    </row>
    <row r="10" spans="1:14">
      <c r="A10" s="639"/>
      <c r="C10" s="6" t="s">
        <v>322</v>
      </c>
      <c r="D10" s="666">
        <f>'PROCESS &amp; CAPEX'!E41*Cur_rate</f>
        <v>0</v>
      </c>
      <c r="E10" s="136">
        <f>D10*1.2</f>
        <v>0</v>
      </c>
      <c r="F10" s="668" t="s">
        <v>504</v>
      </c>
      <c r="G10" s="639"/>
    </row>
    <row r="11" spans="1:14">
      <c r="A11" s="639"/>
      <c r="C11" s="6" t="s">
        <v>323</v>
      </c>
      <c r="D11" s="666">
        <f>'PROCESS &amp; CAPEX'!E42*Cur_rate</f>
        <v>0</v>
      </c>
      <c r="E11" s="136">
        <f t="shared" ref="E11:E12" si="0">D11*1.2</f>
        <v>0</v>
      </c>
      <c r="F11" s="107" t="s">
        <v>505</v>
      </c>
      <c r="G11" s="639"/>
    </row>
    <row r="12" spans="1:14">
      <c r="A12" s="639"/>
      <c r="C12" s="6" t="s">
        <v>325</v>
      </c>
      <c r="D12" s="666">
        <f>'PROCESS &amp; CAPEX'!E43*Cur_rate</f>
        <v>0</v>
      </c>
      <c r="E12" s="136">
        <f t="shared" si="0"/>
        <v>0</v>
      </c>
      <c r="F12" s="107" t="s">
        <v>505</v>
      </c>
      <c r="G12" s="639"/>
    </row>
    <row r="13" spans="1:14">
      <c r="A13" s="639"/>
      <c r="C13" s="6" t="s">
        <v>326</v>
      </c>
      <c r="D13" s="666">
        <f>'PROCESS &amp; CAPEX'!E44*Cur_rate</f>
        <v>0</v>
      </c>
      <c r="E13" s="136">
        <f t="shared" ref="E13:E15" si="1">D13*1.2</f>
        <v>0</v>
      </c>
      <c r="F13" s="107" t="s">
        <v>505</v>
      </c>
      <c r="G13" s="639"/>
    </row>
    <row r="14" spans="1:14">
      <c r="A14" s="639"/>
      <c r="C14" s="6" t="s">
        <v>327</v>
      </c>
      <c r="D14" s="666">
        <f>'PROCESS &amp; CAPEX'!E45*Cur_rate</f>
        <v>0</v>
      </c>
      <c r="E14" s="136">
        <f t="shared" si="1"/>
        <v>0</v>
      </c>
      <c r="F14" s="107" t="s">
        <v>505</v>
      </c>
      <c r="G14" s="639"/>
    </row>
    <row r="15" spans="1:14">
      <c r="A15" s="639"/>
      <c r="C15" s="6" t="s">
        <v>328</v>
      </c>
      <c r="D15" s="666">
        <f>'PROCESS &amp; CAPEX'!E46*Cur_rate</f>
        <v>0</v>
      </c>
      <c r="E15" s="136">
        <f t="shared" si="1"/>
        <v>0</v>
      </c>
      <c r="F15" s="107" t="s">
        <v>505</v>
      </c>
      <c r="G15" s="639"/>
    </row>
    <row r="16" spans="1:14" ht="15" thickBot="1">
      <c r="A16" s="639"/>
      <c r="C16" s="6"/>
      <c r="D16" s="6"/>
      <c r="F16" s="107"/>
      <c r="G16" s="639"/>
    </row>
    <row r="17" spans="1:16" ht="15" thickBot="1">
      <c r="A17" s="639"/>
      <c r="D17" s="6" t="s">
        <v>506</v>
      </c>
      <c r="E17" s="614">
        <f>E7*E6*E5/1000</f>
        <v>1.96</v>
      </c>
      <c r="F17" s="615" t="s">
        <v>507</v>
      </c>
      <c r="G17" s="639"/>
    </row>
    <row r="18" spans="1:16">
      <c r="A18" s="639"/>
      <c r="C18" s="687" t="s">
        <v>508</v>
      </c>
      <c r="D18" s="688" t="s">
        <v>509</v>
      </c>
      <c r="E18" s="683">
        <f>PRICE!N53</f>
        <v>13000</v>
      </c>
      <c r="F18" s="684">
        <f>0.4/E17*60000</f>
        <v>12244.897959183674</v>
      </c>
      <c r="G18" s="639"/>
    </row>
    <row r="19" spans="1:16" ht="15" thickBot="1">
      <c r="A19" s="639"/>
      <c r="B19" s="648">
        <v>0.9</v>
      </c>
      <c r="C19" s="649" t="s">
        <v>510</v>
      </c>
      <c r="D19" s="689" t="s">
        <v>511</v>
      </c>
      <c r="E19" s="685">
        <f>PRICE_inCUR*Cur_rate</f>
        <v>1.333133364279419</v>
      </c>
      <c r="F19" s="686" t="str">
        <f>C5</f>
        <v>EUR</v>
      </c>
      <c r="G19" s="639"/>
      <c r="I19" s="188"/>
    </row>
    <row r="20" spans="1:16" ht="15" thickBot="1">
      <c r="A20" s="639"/>
      <c r="C20" s="617"/>
      <c r="D20" s="616"/>
      <c r="E20" s="681">
        <f>IF(E9&lt;&gt;0,E9,(E17^$D$37/$D$38)*(Cur_rate))</f>
        <v>0.16664167053492737</v>
      </c>
      <c r="F20" s="682">
        <f>E20*F18</f>
        <v>2040.5102514480905</v>
      </c>
      <c r="G20" s="639"/>
    </row>
    <row r="21" spans="1:16">
      <c r="A21" s="639"/>
      <c r="B21" s="618" cm="1">
        <f t="array" ref="B21">J5*Cur_rate</f>
        <v>2100</v>
      </c>
      <c r="C21" s="619" t="str">
        <f>C5&amp;" min must be offered"</f>
        <v>EUR min must be offered</v>
      </c>
      <c r="D21" s="620" t="s">
        <v>512</v>
      </c>
      <c r="E21" s="621" t="s">
        <v>513</v>
      </c>
      <c r="F21" s="622" t="s">
        <v>514</v>
      </c>
      <c r="G21" s="639"/>
    </row>
    <row r="22" spans="1:16">
      <c r="A22" s="639"/>
      <c r="C22" s="623" t="s">
        <v>515</v>
      </c>
      <c r="D22" s="624">
        <v>120000</v>
      </c>
      <c r="E22" s="625" t="str">
        <f t="shared" ref="E22:E28" si="2">IF(F22="from costing","Serial price",(F22/$D22)*1)</f>
        <v>Serial price</v>
      </c>
      <c r="F22" s="626" t="str">
        <f t="shared" ref="F22:F24" si="3">IF($D22&gt;=F$18*$B$19,"from costing",F$29*2+LN($D22/$D$29)*(F$20-F$29*2)/LN(F$18/$D$29)+SUM($E$10:$E$15)*D22)</f>
        <v>from costing</v>
      </c>
      <c r="G22" s="639"/>
      <c r="I22" t="s">
        <v>516</v>
      </c>
    </row>
    <row r="23" spans="1:16">
      <c r="A23" s="639"/>
      <c r="C23" s="623" t="s">
        <v>515</v>
      </c>
      <c r="D23" s="627">
        <f>D22/2</f>
        <v>60000</v>
      </c>
      <c r="E23" s="625" t="str">
        <f t="shared" si="2"/>
        <v>Serial price</v>
      </c>
      <c r="F23" s="626" t="str">
        <f t="shared" si="3"/>
        <v>from costing</v>
      </c>
      <c r="G23" s="639"/>
      <c r="I23" t="s">
        <v>517</v>
      </c>
    </row>
    <row r="24" spans="1:16">
      <c r="A24" s="639"/>
      <c r="C24" s="623" t="s">
        <v>515</v>
      </c>
      <c r="D24" s="627">
        <f>D23/3</f>
        <v>20000</v>
      </c>
      <c r="E24" s="625" t="str">
        <f t="shared" si="2"/>
        <v>Serial price</v>
      </c>
      <c r="F24" s="626" t="str">
        <f t="shared" si="3"/>
        <v>from costing</v>
      </c>
      <c r="G24" s="639"/>
      <c r="J24" s="208"/>
      <c r="K24" s="208"/>
      <c r="O24" s="366"/>
    </row>
    <row r="25" spans="1:16">
      <c r="A25" s="639"/>
      <c r="C25" s="623" t="s">
        <v>515</v>
      </c>
      <c r="D25" s="627">
        <f>D24/2</f>
        <v>10000</v>
      </c>
      <c r="E25" s="625">
        <f t="shared" si="2"/>
        <v>0.1951146332568269</v>
      </c>
      <c r="F25" s="626">
        <f t="shared" ref="F25:F27" si="4">IF($D25&gt;=F$18*$B$19,"from costing",F$29*2+LN($D25/$D$29)*(F$20-F$29*2)/LN(F$18/$D$29)+SUM($E$10:$E$15)*D25)</f>
        <v>1951.1463325682689</v>
      </c>
      <c r="G25" s="639"/>
      <c r="P25" s="22"/>
    </row>
    <row r="26" spans="1:16">
      <c r="A26" s="639"/>
      <c r="C26" s="623" t="s">
        <v>515</v>
      </c>
      <c r="D26" s="627">
        <f>D25/2</f>
        <v>5000</v>
      </c>
      <c r="E26" s="625">
        <f t="shared" si="2"/>
        <v>0.32905896804389478</v>
      </c>
      <c r="F26" s="626">
        <f t="shared" si="4"/>
        <v>1645.2948402194741</v>
      </c>
      <c r="G26" s="639"/>
    </row>
    <row r="27" spans="1:16">
      <c r="A27" s="639"/>
      <c r="C27" s="623" t="s">
        <v>515</v>
      </c>
      <c r="D27" s="627">
        <f>D26/2</f>
        <v>2500</v>
      </c>
      <c r="E27" s="625">
        <f t="shared" si="2"/>
        <v>0.53577733914827164</v>
      </c>
      <c r="F27" s="626">
        <f t="shared" si="4"/>
        <v>1339.443347870679</v>
      </c>
      <c r="G27" s="639"/>
    </row>
    <row r="28" spans="1:16" ht="15" thickBot="1">
      <c r="A28" s="639"/>
      <c r="C28" s="623" t="s">
        <v>515</v>
      </c>
      <c r="D28" s="627">
        <f>D27/2.5</f>
        <v>1000</v>
      </c>
      <c r="E28" s="625">
        <f t="shared" si="2"/>
        <v>0.93512966727157976</v>
      </c>
      <c r="F28" s="626">
        <f>IF($D28&gt;=F$18*$B$19,"from costing",F$29*2+LN($D28/$D$29)*(F$20-F$29*2)/LN(F$18/$D$29)+SUM($E$10:$E$15)*D28)</f>
        <v>935.12966727157971</v>
      </c>
      <c r="G28" s="639"/>
      <c r="P28" s="208"/>
    </row>
    <row r="29" spans="1:16" ht="15" thickBot="1">
      <c r="A29" s="639"/>
      <c r="C29" s="628" t="s">
        <v>518</v>
      </c>
      <c r="D29" s="629">
        <v>500</v>
      </c>
      <c r="E29" s="630">
        <f>(LOG(E17*10,2)/2+1+SUM(E10:E15))*Cur_rate/5</f>
        <v>0.62927817492278471</v>
      </c>
      <c r="F29" s="631">
        <f>IF(ISNUMBER(E29),$D29*E29,"from costing")</f>
        <v>314.63908746139236</v>
      </c>
      <c r="G29" s="639"/>
    </row>
    <row r="30" spans="1:16">
      <c r="A30" s="639"/>
      <c r="C30" s="632" t="s">
        <v>519</v>
      </c>
      <c r="D30" s="633" t="s">
        <v>520</v>
      </c>
      <c r="E30" s="634" t="s">
        <v>521</v>
      </c>
      <c r="F30" s="635">
        <f>400*(Cur_rate)</f>
        <v>400</v>
      </c>
      <c r="G30" s="639"/>
    </row>
    <row r="31" spans="1:16" ht="15" thickBot="1">
      <c r="A31" s="639"/>
      <c r="G31" s="639"/>
    </row>
    <row r="32" spans="1:16" ht="15" thickBot="1">
      <c r="A32" s="639"/>
      <c r="C32" s="664" t="s">
        <v>522</v>
      </c>
      <c r="D32" s="636">
        <v>12000</v>
      </c>
      <c r="G32" s="639"/>
      <c r="I32" s="188" t="s">
        <v>523</v>
      </c>
      <c r="N32" s="607" t="s">
        <v>524</v>
      </c>
    </row>
    <row r="33" spans="1:14" ht="15" thickBot="1">
      <c r="A33" s="639"/>
      <c r="D33" s="637" t="s">
        <v>525</v>
      </c>
      <c r="E33" s="638" t="str">
        <f>IF(F33="from costing","Serial price",(F33/$D32)*1)</f>
        <v>Serial price</v>
      </c>
      <c r="F33" s="626" t="str">
        <f>IF($D32&gt;=F$18*$B$19,"from costing",F$29*2+LN($D32/$D$29)*(F$20-F$29*2)/LN(F$18/$D$29)+SUM($E$10:$E$15)*D32)</f>
        <v>from costing</v>
      </c>
      <c r="G33" s="639"/>
      <c r="N33" s="22" t="s">
        <v>526</v>
      </c>
    </row>
    <row r="34" spans="1:14">
      <c r="A34" s="639"/>
      <c r="E34" s="6" t="s">
        <v>527</v>
      </c>
      <c r="F34" s="6" t="s">
        <v>528</v>
      </c>
      <c r="G34" s="639"/>
      <c r="N34" s="22" t="s">
        <v>529</v>
      </c>
    </row>
    <row r="35" spans="1:14">
      <c r="A35" s="639"/>
      <c r="B35" s="639"/>
      <c r="C35" s="639"/>
      <c r="D35" s="639"/>
      <c r="E35" s="639"/>
      <c r="F35" s="639"/>
      <c r="G35" s="639"/>
      <c r="I35" t="s">
        <v>530</v>
      </c>
      <c r="N35" s="22" t="s">
        <v>531</v>
      </c>
    </row>
    <row r="36" spans="1:14">
      <c r="C36" s="284" t="s">
        <v>532</v>
      </c>
      <c r="D36" s="650" t="s">
        <v>533</v>
      </c>
      <c r="I36" t="s">
        <v>534</v>
      </c>
    </row>
    <row r="37" spans="1:14">
      <c r="D37" s="650">
        <v>1.1000000000000001</v>
      </c>
      <c r="I37" t="s">
        <v>535</v>
      </c>
      <c r="K37" s="284" t="s">
        <v>19</v>
      </c>
    </row>
    <row r="38" spans="1:14">
      <c r="D38" s="650">
        <v>5.8</v>
      </c>
    </row>
    <row r="39" spans="1:14">
      <c r="K39" s="208" t="s">
        <v>536</v>
      </c>
    </row>
    <row r="40" spans="1:14">
      <c r="B40" s="612" t="s">
        <v>537</v>
      </c>
    </row>
    <row r="41" spans="1:14">
      <c r="B41" t="s">
        <v>538</v>
      </c>
    </row>
    <row r="42" spans="1:14">
      <c r="B42" t="s">
        <v>539</v>
      </c>
    </row>
    <row r="45" spans="1:14">
      <c r="D45" s="665" t="s">
        <v>322</v>
      </c>
    </row>
    <row r="46" spans="1:14">
      <c r="D46" s="665" t="s">
        <v>323</v>
      </c>
    </row>
    <row r="47" spans="1:14">
      <c r="D47" s="665" t="s">
        <v>325</v>
      </c>
    </row>
    <row r="48" spans="1:14">
      <c r="D48" s="665" t="s">
        <v>326</v>
      </c>
    </row>
    <row r="49" spans="4:4">
      <c r="D49" s="665" t="s">
        <v>327</v>
      </c>
    </row>
    <row r="50" spans="4:4">
      <c r="D50" s="665" t="s">
        <v>328</v>
      </c>
    </row>
  </sheetData>
  <conditionalFormatting sqref="E22:E28 E33">
    <cfRule type="expression" dxfId="2" priority="5">
      <formula>F22&lt;$B$21</formula>
    </cfRule>
  </conditionalFormatting>
  <conditionalFormatting sqref="F22:F28">
    <cfRule type="expression" dxfId="1" priority="4">
      <formula>F22&lt;$B$21</formula>
    </cfRule>
  </conditionalFormatting>
  <conditionalFormatting sqref="F33">
    <cfRule type="expression" dxfId="0" priority="1">
      <formula>F33&lt;$B$21</formula>
    </cfRule>
  </conditionalFormatting>
  <dataValidations count="4">
    <dataValidation type="list" allowBlank="1" showInputMessage="1" showErrorMessage="1" sqref="C5" xr:uid="{A772F4B3-2B17-4E09-8798-F7DCEA8D7AAD}">
      <formula1>$J$7:$N$7</formula1>
    </dataValidation>
    <dataValidation type="decimal" allowBlank="1" showInputMessage="1" showErrorMessage="1" sqref="D32" xr:uid="{0B32EECE-AFB3-4D67-9313-1E469F0E019A}">
      <formula1>0</formula1>
      <formula2>100000000</formula2>
    </dataValidation>
    <dataValidation type="decimal" allowBlank="1" showInputMessage="1" showErrorMessage="1" sqref="E9" xr:uid="{B8AA1D52-C533-41A4-80E0-77D2FBEEF221}">
      <formula1>0</formula1>
      <formula2>1000</formula2>
    </dataValidation>
    <dataValidation type="decimal" allowBlank="1" showInputMessage="1" showErrorMessage="1" sqref="E5:E7 F10 E10:E16" xr:uid="{DA6E2AB4-1900-4B35-9E66-2F91441696E4}">
      <formula1>0</formula1>
      <formula2>500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6D30-6507-4841-8561-1C4063EB48EA}">
  <sheetPr codeName="Feuil7"/>
  <dimension ref="A1:O53"/>
  <sheetViews>
    <sheetView showGridLines="0" zoomScale="148" zoomScaleNormal="148" workbookViewId="0">
      <selection activeCell="C4" sqref="C4"/>
    </sheetView>
  </sheetViews>
  <sheetFormatPr defaultColWidth="10.5703125" defaultRowHeight="14.45"/>
  <cols>
    <col min="1" max="1" width="5.5703125" customWidth="1"/>
  </cols>
  <sheetData>
    <row r="1" spans="2:7" ht="6.6" customHeight="1"/>
    <row r="2" spans="2:7">
      <c r="B2" s="607" t="s">
        <v>540</v>
      </c>
      <c r="E2" s="611" t="s">
        <v>541</v>
      </c>
    </row>
    <row r="3" spans="2:7" ht="8.1" customHeight="1"/>
    <row r="4" spans="2:7">
      <c r="C4" t="s">
        <v>542</v>
      </c>
      <c r="E4" t="s">
        <v>543</v>
      </c>
    </row>
    <row r="5" spans="2:7">
      <c r="B5" s="6" t="s">
        <v>544</v>
      </c>
      <c r="C5" s="608">
        <v>3000</v>
      </c>
      <c r="D5" s="591" t="s">
        <v>545</v>
      </c>
      <c r="E5" s="610">
        <f>SUM(C5:C15)</f>
        <v>7485</v>
      </c>
      <c r="F5" s="591" t="s">
        <v>545</v>
      </c>
      <c r="G5" s="642" t="s">
        <v>546</v>
      </c>
    </row>
    <row r="6" spans="2:7">
      <c r="B6" s="6" t="s">
        <v>547</v>
      </c>
      <c r="C6" s="608">
        <v>1000</v>
      </c>
      <c r="D6" s="591" t="s">
        <v>545</v>
      </c>
      <c r="E6" s="605">
        <f t="shared" ref="E6:E16" si="0">E$5/C$5*C6</f>
        <v>2495</v>
      </c>
      <c r="F6" s="591" t="s">
        <v>545</v>
      </c>
    </row>
    <row r="7" spans="2:7">
      <c r="B7" s="6" t="s">
        <v>548</v>
      </c>
      <c r="C7" s="608">
        <v>1000</v>
      </c>
      <c r="D7" s="591" t="s">
        <v>545</v>
      </c>
      <c r="E7" s="605">
        <f t="shared" si="0"/>
        <v>2495</v>
      </c>
      <c r="F7" s="591" t="s">
        <v>545</v>
      </c>
    </row>
    <row r="8" spans="2:7">
      <c r="B8" s="6" t="s">
        <v>549</v>
      </c>
      <c r="C8" s="609">
        <v>50</v>
      </c>
      <c r="D8" s="591" t="s">
        <v>545</v>
      </c>
      <c r="E8" s="605">
        <f t="shared" si="0"/>
        <v>124.75</v>
      </c>
      <c r="F8" s="591" t="s">
        <v>545</v>
      </c>
    </row>
    <row r="9" spans="2:7">
      <c r="B9" s="6" t="s">
        <v>550</v>
      </c>
      <c r="C9" s="609">
        <v>500</v>
      </c>
      <c r="D9" s="591" t="s">
        <v>545</v>
      </c>
      <c r="E9" s="605">
        <f t="shared" si="0"/>
        <v>1247.5</v>
      </c>
      <c r="F9" s="591" t="s">
        <v>545</v>
      </c>
    </row>
    <row r="10" spans="2:7">
      <c r="B10" s="6" t="s">
        <v>551</v>
      </c>
      <c r="C10" s="609">
        <v>500</v>
      </c>
      <c r="D10" s="591" t="s">
        <v>545</v>
      </c>
      <c r="E10" s="605">
        <f t="shared" si="0"/>
        <v>1247.5</v>
      </c>
      <c r="F10" s="591" t="s">
        <v>545</v>
      </c>
    </row>
    <row r="11" spans="2:7">
      <c r="B11" s="6" t="s">
        <v>552</v>
      </c>
      <c r="C11" s="609">
        <v>300</v>
      </c>
      <c r="D11" s="591" t="s">
        <v>545</v>
      </c>
      <c r="E11" s="605">
        <f t="shared" si="0"/>
        <v>748.5</v>
      </c>
      <c r="F11" s="591" t="s">
        <v>545</v>
      </c>
    </row>
    <row r="12" spans="2:7">
      <c r="B12" s="6" t="s">
        <v>553</v>
      </c>
      <c r="C12" s="609">
        <v>30</v>
      </c>
      <c r="D12" s="591" t="s">
        <v>545</v>
      </c>
      <c r="E12" s="605">
        <f t="shared" si="0"/>
        <v>74.850000000000009</v>
      </c>
      <c r="F12" s="591" t="s">
        <v>545</v>
      </c>
    </row>
    <row r="13" spans="2:7">
      <c r="B13" s="6" t="s">
        <v>554</v>
      </c>
      <c r="C13" s="609">
        <v>5</v>
      </c>
      <c r="D13" s="591" t="s">
        <v>545</v>
      </c>
      <c r="E13" s="605">
        <f t="shared" si="0"/>
        <v>12.475000000000001</v>
      </c>
      <c r="F13" s="591" t="s">
        <v>545</v>
      </c>
    </row>
    <row r="14" spans="2:7">
      <c r="B14" s="6" t="s">
        <v>555</v>
      </c>
      <c r="C14" s="609">
        <v>100</v>
      </c>
      <c r="D14" s="591" t="s">
        <v>545</v>
      </c>
      <c r="E14" s="605">
        <f t="shared" si="0"/>
        <v>249.5</v>
      </c>
      <c r="F14" s="591" t="s">
        <v>545</v>
      </c>
    </row>
    <row r="15" spans="2:7">
      <c r="B15" s="6" t="s">
        <v>556</v>
      </c>
      <c r="C15" s="609">
        <v>1000</v>
      </c>
      <c r="D15" s="591" t="s">
        <v>545</v>
      </c>
      <c r="E15" s="605">
        <f t="shared" si="0"/>
        <v>2495</v>
      </c>
      <c r="F15" s="591" t="s">
        <v>545</v>
      </c>
    </row>
    <row r="16" spans="2:7">
      <c r="B16" s="6" t="s">
        <v>557</v>
      </c>
      <c r="C16" s="609">
        <v>5</v>
      </c>
      <c r="D16" s="591" t="s">
        <v>545</v>
      </c>
      <c r="E16" s="605">
        <f t="shared" si="0"/>
        <v>12.475000000000001</v>
      </c>
      <c r="F16" s="591" t="s">
        <v>545</v>
      </c>
    </row>
    <row r="17" spans="1:15">
      <c r="C17" s="611" t="s">
        <v>558</v>
      </c>
    </row>
    <row r="18" spans="1:15">
      <c r="C18" s="611"/>
    </row>
    <row r="19" spans="1:15">
      <c r="A19" s="208" t="s">
        <v>559</v>
      </c>
    </row>
    <row r="20" spans="1:15">
      <c r="B20" s="606" t="s">
        <v>560</v>
      </c>
      <c r="C20" t="s">
        <v>561</v>
      </c>
    </row>
    <row r="21" spans="1:15">
      <c r="D21" s="107" t="s">
        <v>542</v>
      </c>
      <c r="G21" t="s">
        <v>562</v>
      </c>
    </row>
    <row r="22" spans="1:15">
      <c r="C22" t="s">
        <v>563</v>
      </c>
      <c r="D22" s="366">
        <v>2500</v>
      </c>
      <c r="E22" t="s">
        <v>545</v>
      </c>
      <c r="F22" t="s">
        <v>564</v>
      </c>
      <c r="G22" s="366">
        <v>4500</v>
      </c>
      <c r="H22" t="s">
        <v>545</v>
      </c>
      <c r="I22" t="s">
        <v>565</v>
      </c>
    </row>
    <row r="23" spans="1:15">
      <c r="C23" t="s">
        <v>566</v>
      </c>
      <c r="D23" s="366">
        <v>2000</v>
      </c>
      <c r="E23" t="s">
        <v>545</v>
      </c>
      <c r="F23" t="s">
        <v>564</v>
      </c>
      <c r="G23" s="366">
        <v>4500</v>
      </c>
      <c r="H23" t="s">
        <v>545</v>
      </c>
      <c r="I23" t="s">
        <v>565</v>
      </c>
      <c r="O23" s="122">
        <f>(2500-2000)/2000</f>
        <v>0.25</v>
      </c>
    </row>
    <row r="24" spans="1:15">
      <c r="C24" t="s">
        <v>567</v>
      </c>
      <c r="D24">
        <v>10</v>
      </c>
      <c r="E24" t="s">
        <v>545</v>
      </c>
      <c r="F24" t="s">
        <v>568</v>
      </c>
      <c r="G24" t="s">
        <v>569</v>
      </c>
    </row>
    <row r="27" spans="1:15">
      <c r="B27" s="606" t="s">
        <v>570</v>
      </c>
      <c r="C27" s="606" t="s">
        <v>571</v>
      </c>
      <c r="D27" s="606"/>
      <c r="E27" s="606"/>
      <c r="F27" s="606"/>
      <c r="G27" s="606"/>
      <c r="H27" s="606"/>
      <c r="I27" s="606"/>
    </row>
    <row r="28" spans="1:15">
      <c r="D28" t="s">
        <v>572</v>
      </c>
      <c r="F28" s="107" t="s">
        <v>542</v>
      </c>
    </row>
    <row r="29" spans="1:15">
      <c r="C29" s="591" t="s">
        <v>563</v>
      </c>
      <c r="D29" s="591" t="s">
        <v>573</v>
      </c>
      <c r="E29" s="591"/>
      <c r="F29" s="603">
        <v>3000</v>
      </c>
      <c r="G29" s="591" t="s">
        <v>545</v>
      </c>
      <c r="H29" s="604">
        <v>5050</v>
      </c>
      <c r="I29" s="591" t="s">
        <v>545</v>
      </c>
      <c r="J29" t="s">
        <v>574</v>
      </c>
      <c r="K29" s="366"/>
    </row>
    <row r="30" spans="1:15">
      <c r="C30" s="591" t="s">
        <v>566</v>
      </c>
      <c r="D30" s="591" t="s">
        <v>573</v>
      </c>
      <c r="E30" s="591"/>
      <c r="F30" s="603">
        <v>1000</v>
      </c>
      <c r="G30" s="591" t="s">
        <v>545</v>
      </c>
      <c r="H30" s="605">
        <f>H$29/F$29*F30</f>
        <v>1683.3333333333333</v>
      </c>
      <c r="I30" s="591" t="s">
        <v>545</v>
      </c>
      <c r="J30" t="s">
        <v>575</v>
      </c>
      <c r="O30" s="122">
        <f>(3000-1000)/1000</f>
        <v>2</v>
      </c>
    </row>
    <row r="31" spans="1:15">
      <c r="C31" s="591" t="s">
        <v>567</v>
      </c>
      <c r="D31" s="591" t="s">
        <v>573</v>
      </c>
      <c r="E31" s="591"/>
      <c r="F31" s="603">
        <v>1000</v>
      </c>
      <c r="G31" s="591" t="s">
        <v>545</v>
      </c>
      <c r="H31" s="605">
        <f>H$29/F$29*F31</f>
        <v>1683.3333333333333</v>
      </c>
      <c r="I31" s="591" t="s">
        <v>545</v>
      </c>
      <c r="J31" t="s">
        <v>575</v>
      </c>
      <c r="O31" s="122">
        <f>(3000-1000)/1000</f>
        <v>2</v>
      </c>
    </row>
    <row r="32" spans="1:15">
      <c r="C32" s="591" t="s">
        <v>576</v>
      </c>
      <c r="D32" s="591" t="s">
        <v>573</v>
      </c>
      <c r="E32" s="591"/>
      <c r="F32" s="591">
        <v>50</v>
      </c>
      <c r="G32" s="591" t="s">
        <v>545</v>
      </c>
      <c r="H32" s="605">
        <f>H$29/F$29*F32</f>
        <v>84.166666666666671</v>
      </c>
      <c r="I32" s="591" t="s">
        <v>545</v>
      </c>
      <c r="J32" t="s">
        <v>575</v>
      </c>
    </row>
    <row r="33" spans="2:9">
      <c r="C33" s="342" t="s">
        <v>577</v>
      </c>
      <c r="D33" s="342" t="s">
        <v>578</v>
      </c>
      <c r="E33" s="342"/>
      <c r="F33" s="342">
        <v>500</v>
      </c>
      <c r="G33" s="342" t="s">
        <v>545</v>
      </c>
      <c r="H33" s="342">
        <v>1000</v>
      </c>
      <c r="I33" s="342" t="s">
        <v>545</v>
      </c>
    </row>
    <row r="34" spans="2:9">
      <c r="C34" s="342" t="s">
        <v>579</v>
      </c>
      <c r="D34" s="342" t="s">
        <v>578</v>
      </c>
      <c r="E34" s="342"/>
      <c r="F34" s="342">
        <v>500</v>
      </c>
      <c r="G34" s="342" t="s">
        <v>545</v>
      </c>
      <c r="H34" s="342">
        <v>1000</v>
      </c>
      <c r="I34" s="342" t="s">
        <v>545</v>
      </c>
    </row>
    <row r="36" spans="2:9">
      <c r="C36" t="s">
        <v>580</v>
      </c>
    </row>
    <row r="38" spans="2:9">
      <c r="B38" s="606" t="s">
        <v>581</v>
      </c>
      <c r="C38" s="22" t="s">
        <v>582</v>
      </c>
    </row>
    <row r="39" spans="2:9">
      <c r="C39" s="22" t="s">
        <v>583</v>
      </c>
    </row>
    <row r="40" spans="2:9">
      <c r="C40" s="22"/>
    </row>
    <row r="41" spans="2:9">
      <c r="B41" s="606" t="s">
        <v>584</v>
      </c>
      <c r="C41" t="s">
        <v>585</v>
      </c>
    </row>
    <row r="42" spans="2:9">
      <c r="C42" t="s">
        <v>586</v>
      </c>
    </row>
    <row r="43" spans="2:9">
      <c r="D43" s="107" t="s">
        <v>542</v>
      </c>
      <c r="G43" t="s">
        <v>562</v>
      </c>
    </row>
    <row r="44" spans="2:9">
      <c r="C44" t="s">
        <v>563</v>
      </c>
      <c r="D44" s="366">
        <v>500</v>
      </c>
      <c r="E44" t="s">
        <v>545</v>
      </c>
      <c r="G44" s="366">
        <v>1000</v>
      </c>
      <c r="H44" t="s">
        <v>545</v>
      </c>
    </row>
    <row r="45" spans="2:9">
      <c r="C45" t="s">
        <v>566</v>
      </c>
      <c r="D45" s="366">
        <v>500</v>
      </c>
      <c r="E45" t="s">
        <v>545</v>
      </c>
      <c r="G45" s="366">
        <v>1000</v>
      </c>
      <c r="H45" t="s">
        <v>545</v>
      </c>
    </row>
    <row r="47" spans="2:9">
      <c r="B47" s="606" t="s">
        <v>587</v>
      </c>
      <c r="C47" t="s">
        <v>588</v>
      </c>
    </row>
    <row r="48" spans="2:9">
      <c r="C48" t="s">
        <v>586</v>
      </c>
    </row>
    <row r="49" spans="3:7">
      <c r="D49" s="107" t="s">
        <v>542</v>
      </c>
      <c r="F49" t="s">
        <v>562</v>
      </c>
    </row>
    <row r="50" spans="3:7">
      <c r="C50" t="s">
        <v>563</v>
      </c>
      <c r="D50">
        <v>3000</v>
      </c>
      <c r="F50" s="366">
        <v>4500</v>
      </c>
      <c r="G50" t="s">
        <v>545</v>
      </c>
    </row>
    <row r="51" spans="3:7">
      <c r="C51" t="s">
        <v>566</v>
      </c>
      <c r="D51">
        <v>1500</v>
      </c>
      <c r="F51" s="366">
        <v>4500</v>
      </c>
      <c r="G51" t="s">
        <v>545</v>
      </c>
    </row>
    <row r="53" spans="3:7">
      <c r="C53" t="s">
        <v>589</v>
      </c>
    </row>
  </sheetData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B9D0-E273-4567-892C-34DA643DA41D}">
  <sheetPr codeName="Feuil5"/>
  <dimension ref="A1:B1"/>
  <sheetViews>
    <sheetView topLeftCell="A9" zoomScale="106" zoomScaleNormal="106" workbookViewId="0">
      <selection activeCell="V23" sqref="V23"/>
    </sheetView>
  </sheetViews>
  <sheetFormatPr defaultColWidth="8.5703125" defaultRowHeight="14.45"/>
  <sheetData>
    <row r="1" spans="1:2">
      <c r="A1" t="s">
        <v>590</v>
      </c>
      <c r="B1" s="643" t="s">
        <v>591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B803-3F7F-4548-8302-AD7F0BA32FEF}">
  <sheetPr codeName="Feuil4"/>
  <dimension ref="B2:O91"/>
  <sheetViews>
    <sheetView showGridLines="0" zoomScale="59" zoomScaleNormal="59" workbookViewId="0">
      <selection activeCell="N7" sqref="N7"/>
    </sheetView>
  </sheetViews>
  <sheetFormatPr defaultColWidth="11.42578125" defaultRowHeight="14.45"/>
  <cols>
    <col min="1" max="1" width="2.5703125" customWidth="1"/>
    <col min="2" max="2" width="16.42578125" customWidth="1"/>
    <col min="4" max="4" width="26.42578125" customWidth="1"/>
    <col min="5" max="5" width="56" customWidth="1"/>
    <col min="6" max="6" width="44.42578125" customWidth="1"/>
    <col min="7" max="7" width="41.42578125" customWidth="1"/>
  </cols>
  <sheetData>
    <row r="2" spans="2:7" ht="15.6">
      <c r="B2" s="423" t="s">
        <v>592</v>
      </c>
      <c r="C2" s="422"/>
      <c r="D2" s="234" t="s">
        <v>593</v>
      </c>
      <c r="E2" s="422"/>
      <c r="F2" s="422"/>
      <c r="G2" s="422"/>
    </row>
    <row r="3" spans="2:7" ht="15.6">
      <c r="B3" s="424" t="s">
        <v>594</v>
      </c>
      <c r="C3" s="422"/>
      <c r="D3" s="422" t="s">
        <v>595</v>
      </c>
      <c r="E3" s="234" t="s">
        <v>596</v>
      </c>
      <c r="F3" s="234" t="s">
        <v>597</v>
      </c>
      <c r="G3" s="234" t="s">
        <v>598</v>
      </c>
    </row>
    <row r="4" spans="2:7" ht="57.6" customHeight="1">
      <c r="B4" s="416" t="s">
        <v>599</v>
      </c>
      <c r="C4" s="323"/>
      <c r="D4" s="416" t="s">
        <v>600</v>
      </c>
      <c r="E4" s="325" t="s">
        <v>601</v>
      </c>
      <c r="F4" s="326" t="s">
        <v>602</v>
      </c>
      <c r="G4" s="326" t="s">
        <v>603</v>
      </c>
    </row>
    <row r="5" spans="2:7" ht="57.6" customHeight="1">
      <c r="B5" s="417" t="s">
        <v>604</v>
      </c>
      <c r="C5" s="327"/>
      <c r="D5" s="425" t="s">
        <v>143</v>
      </c>
      <c r="E5" s="325" t="s">
        <v>605</v>
      </c>
      <c r="F5" s="326" t="s">
        <v>606</v>
      </c>
      <c r="G5" s="326" t="s">
        <v>607</v>
      </c>
    </row>
    <row r="6" spans="2:7" ht="54.75" customHeight="1">
      <c r="B6" s="418" t="s">
        <v>608</v>
      </c>
      <c r="C6" s="327"/>
      <c r="D6" s="425" t="s">
        <v>144</v>
      </c>
      <c r="E6" s="325" t="s">
        <v>609</v>
      </c>
      <c r="F6" s="326" t="s">
        <v>610</v>
      </c>
      <c r="G6" s="326" t="s">
        <v>607</v>
      </c>
    </row>
    <row r="7" spans="2:7" ht="57.6" customHeight="1">
      <c r="B7" s="419"/>
      <c r="C7" s="329" t="s">
        <v>611</v>
      </c>
      <c r="D7" s="425" t="s">
        <v>612</v>
      </c>
      <c r="E7" s="325" t="s">
        <v>613</v>
      </c>
      <c r="F7" s="326" t="s">
        <v>614</v>
      </c>
      <c r="G7" s="326" t="s">
        <v>615</v>
      </c>
    </row>
    <row r="8" spans="2:7" ht="40.5" customHeight="1">
      <c r="B8" s="420" t="s">
        <v>616</v>
      </c>
      <c r="C8" s="327"/>
      <c r="D8" s="426" t="s">
        <v>147</v>
      </c>
      <c r="E8" s="732" t="s">
        <v>617</v>
      </c>
      <c r="F8" s="734" t="s">
        <v>618</v>
      </c>
      <c r="G8" s="732" t="s">
        <v>619</v>
      </c>
    </row>
    <row r="9" spans="2:7" ht="40.5" customHeight="1">
      <c r="B9" s="421" t="s">
        <v>620</v>
      </c>
      <c r="C9" s="327"/>
      <c r="D9" s="426" t="s">
        <v>148</v>
      </c>
      <c r="E9" s="733"/>
      <c r="F9" s="735"/>
      <c r="G9" s="733"/>
    </row>
    <row r="10" spans="2:7" ht="73.5" customHeight="1">
      <c r="B10" s="331"/>
      <c r="C10" s="332"/>
      <c r="D10" s="427" t="s">
        <v>621</v>
      </c>
      <c r="E10" s="326" t="s">
        <v>622</v>
      </c>
      <c r="F10" s="326" t="s">
        <v>623</v>
      </c>
      <c r="G10" s="326" t="s">
        <v>624</v>
      </c>
    </row>
    <row r="11" spans="2:7">
      <c r="B11" s="46" t="s">
        <v>625</v>
      </c>
    </row>
    <row r="13" spans="2:7" ht="15.6">
      <c r="B13" s="234" t="s">
        <v>626</v>
      </c>
    </row>
    <row r="14" spans="2:7">
      <c r="B14" s="208"/>
    </row>
    <row r="15" spans="2:7" ht="20.85" customHeight="1">
      <c r="C15" s="428" t="s">
        <v>627</v>
      </c>
      <c r="D15" s="422"/>
      <c r="E15" s="428" t="s">
        <v>628</v>
      </c>
    </row>
    <row r="16" spans="2:7" ht="20.85" customHeight="1">
      <c r="C16" s="437" t="s">
        <v>629</v>
      </c>
      <c r="E16" s="437" t="s">
        <v>630</v>
      </c>
    </row>
    <row r="17" spans="2:6" ht="20.85" customHeight="1">
      <c r="C17" s="334" t="s">
        <v>631</v>
      </c>
      <c r="E17" s="438" t="s">
        <v>632</v>
      </c>
    </row>
    <row r="18" spans="2:6" ht="20.85" customHeight="1">
      <c r="C18" s="334" t="s">
        <v>633</v>
      </c>
      <c r="E18" s="439"/>
      <c r="F18" s="429" t="s">
        <v>634</v>
      </c>
    </row>
    <row r="19" spans="2:6" ht="20.85" customHeight="1">
      <c r="C19" s="299"/>
      <c r="E19" s="433" t="s">
        <v>635</v>
      </c>
      <c r="F19" s="429"/>
    </row>
    <row r="20" spans="2:6" ht="20.85" customHeight="1" thickBot="1">
      <c r="C20" s="299"/>
      <c r="E20" s="436" t="s">
        <v>636</v>
      </c>
      <c r="F20" s="429"/>
    </row>
    <row r="21" spans="2:6" ht="20.85" customHeight="1">
      <c r="B21" s="422"/>
      <c r="C21" s="299"/>
      <c r="E21" s="432"/>
      <c r="F21" s="429"/>
    </row>
    <row r="22" spans="2:6" ht="20.85" customHeight="1" thickBot="1">
      <c r="B22" s="430" t="s">
        <v>637</v>
      </c>
      <c r="C22" s="335"/>
      <c r="D22" s="336"/>
      <c r="E22" s="434"/>
      <c r="F22" s="429"/>
    </row>
    <row r="23" spans="2:6" ht="20.85" customHeight="1">
      <c r="B23" s="430"/>
      <c r="C23" s="337"/>
      <c r="D23" s="338"/>
      <c r="E23" s="435"/>
      <c r="F23" s="333" t="s">
        <v>621</v>
      </c>
    </row>
    <row r="24" spans="2:6" ht="20.85" customHeight="1" thickBot="1">
      <c r="B24" s="431" t="s">
        <v>636</v>
      </c>
      <c r="C24" s="339"/>
      <c r="D24" s="340"/>
      <c r="E24" s="435"/>
      <c r="F24" s="330" t="s">
        <v>148</v>
      </c>
    </row>
    <row r="25" spans="2:6" ht="20.85" customHeight="1">
      <c r="C25" s="337"/>
      <c r="D25" s="338"/>
      <c r="E25" s="435"/>
      <c r="F25" s="330" t="s">
        <v>147</v>
      </c>
    </row>
    <row r="26" spans="2:6" ht="20.85" customHeight="1">
      <c r="C26" s="337"/>
      <c r="D26" s="338"/>
      <c r="E26" s="435"/>
      <c r="F26" s="328" t="s">
        <v>612</v>
      </c>
    </row>
    <row r="27" spans="2:6" ht="20.85" customHeight="1">
      <c r="C27" s="337"/>
      <c r="D27" s="338"/>
      <c r="E27" s="435"/>
      <c r="F27" s="328" t="s">
        <v>144</v>
      </c>
    </row>
    <row r="28" spans="2:6" ht="20.85" customHeight="1">
      <c r="C28" s="337"/>
      <c r="D28" s="338"/>
      <c r="E28" s="435"/>
      <c r="F28" s="328" t="s">
        <v>143</v>
      </c>
    </row>
    <row r="29" spans="2:6" ht="20.85" customHeight="1">
      <c r="B29">
        <v>0</v>
      </c>
      <c r="C29" s="337"/>
      <c r="D29" s="338"/>
      <c r="E29" s="435"/>
      <c r="F29" s="324" t="s">
        <v>600</v>
      </c>
    </row>
    <row r="64" spans="15:15">
      <c r="O64">
        <f>IF(G64&lt;&gt;0,H64/G64*(1-'RFQ Data'!$I$36),0)</f>
        <v>0</v>
      </c>
    </row>
    <row r="65" spans="15:15">
      <c r="O65">
        <f>IF(G65&lt;&gt;0,H65/G65*(1-'RFQ Data'!$I$36),0)</f>
        <v>0</v>
      </c>
    </row>
    <row r="66" spans="15:15">
      <c r="O66">
        <f>IF(G66&lt;&gt;0,H66/G66*(1-'RFQ Data'!$I$36),0)</f>
        <v>0</v>
      </c>
    </row>
    <row r="67" spans="15:15">
      <c r="O67">
        <f>IF(G67&lt;&gt;0,H67/G67*(1-'RFQ Data'!$I$36),0)</f>
        <v>0</v>
      </c>
    </row>
    <row r="68" spans="15:15">
      <c r="O68">
        <f>IF(G68&lt;&gt;0,H68/G68*(1-'RFQ Data'!$I$36),0)</f>
        <v>0</v>
      </c>
    </row>
    <row r="69" spans="15:15">
      <c r="O69">
        <f>IF(G69&lt;&gt;0,H69/G69*(1-'RFQ Data'!$I$36),0)</f>
        <v>0</v>
      </c>
    </row>
    <row r="70" spans="15:15">
      <c r="O70">
        <f>IF(G70&lt;&gt;0,H70/G70*(1-'RFQ Data'!$I$36),0)</f>
        <v>0</v>
      </c>
    </row>
    <row r="71" spans="15:15">
      <c r="O71">
        <f>IF(G71&lt;&gt;0,H71/G71*(1-'RFQ Data'!$I$36),0)</f>
        <v>0</v>
      </c>
    </row>
    <row r="72" spans="15:15">
      <c r="O72">
        <f>IF(G72&lt;&gt;0,H72/G72*(1-'RFQ Data'!$I$36),0)</f>
        <v>0</v>
      </c>
    </row>
    <row r="73" spans="15:15">
      <c r="O73">
        <f>IF(G73&lt;&gt;0,H73/G73*(1-'RFQ Data'!$I$36),0)</f>
        <v>0</v>
      </c>
    </row>
    <row r="74" spans="15:15">
      <c r="O74">
        <f>IF(G74&lt;&gt;0,H74/G74*(1-'RFQ Data'!$I$36),0)</f>
        <v>0</v>
      </c>
    </row>
    <row r="75" spans="15:15">
      <c r="O75">
        <f>IF(G75&lt;&gt;0,H75/G75*(1-'RFQ Data'!$I$36),0)</f>
        <v>0</v>
      </c>
    </row>
    <row r="76" spans="15:15">
      <c r="O76">
        <f>IF(G76&lt;&gt;0,H76/G76*(1-'RFQ Data'!$I$36),0)</f>
        <v>0</v>
      </c>
    </row>
    <row r="77" spans="15:15">
      <c r="O77">
        <f>IF(G77&lt;&gt;0,H77/G77*(1-'RFQ Data'!$I$36),0)</f>
        <v>0</v>
      </c>
    </row>
    <row r="78" spans="15:15">
      <c r="O78">
        <f>IF(G78&lt;&gt;0,H78/G78*(1-'RFQ Data'!$I$36),0)</f>
        <v>0</v>
      </c>
    </row>
    <row r="79" spans="15:15">
      <c r="O79">
        <f>IF(G79&lt;&gt;0,H79/G79*(1-'RFQ Data'!$I$36),0)</f>
        <v>0</v>
      </c>
    </row>
    <row r="80" spans="15:15">
      <c r="O80">
        <f>IF(G80&lt;&gt;0,H80/G80*(1-'RFQ Data'!$I$36),0)</f>
        <v>0</v>
      </c>
    </row>
    <row r="81" spans="15:15">
      <c r="O81">
        <f>IF(G81&lt;&gt;0,H81/G81*(1-'RFQ Data'!$I$36),0)</f>
        <v>0</v>
      </c>
    </row>
    <row r="82" spans="15:15">
      <c r="O82">
        <f>IF(G82&lt;&gt;0,H82/G82*(1-'RFQ Data'!$I$36),0)</f>
        <v>0</v>
      </c>
    </row>
    <row r="83" spans="15:15">
      <c r="O83">
        <f>IF(G83&lt;&gt;0,H83/G83*(1-'RFQ Data'!$I$36),0)</f>
        <v>0</v>
      </c>
    </row>
    <row r="84" spans="15:15">
      <c r="O84">
        <f>IF(G84&lt;&gt;0,H84/G84*(1-'RFQ Data'!$I$36),0)</f>
        <v>0</v>
      </c>
    </row>
    <row r="85" spans="15:15">
      <c r="O85">
        <f>IF(G85&lt;&gt;0,H85/G85*(1-'RFQ Data'!$I$36),0)</f>
        <v>0</v>
      </c>
    </row>
    <row r="86" spans="15:15">
      <c r="O86">
        <f>IF(G86&lt;&gt;0,H86/G86*(1-'RFQ Data'!$I$36),0)</f>
        <v>0</v>
      </c>
    </row>
    <row r="87" spans="15:15">
      <c r="O87">
        <f>IF(G87&lt;&gt;0,H87/G87*(1-'RFQ Data'!$I$36),0)</f>
        <v>0</v>
      </c>
    </row>
    <row r="88" spans="15:15">
      <c r="O88">
        <f>IF(G88&lt;&gt;0,H88/G88*(1-'RFQ Data'!$I$36),0)</f>
        <v>0</v>
      </c>
    </row>
    <row r="89" spans="15:15">
      <c r="O89">
        <f>IF(G89&lt;&gt;0,H89/G89*(1-'RFQ Data'!$I$36),0)</f>
        <v>0</v>
      </c>
    </row>
    <row r="90" spans="15:15">
      <c r="O90">
        <f>IF(G90&lt;&gt;0,H90/G90*(1-'RFQ Data'!$I$36),0)</f>
        <v>0</v>
      </c>
    </row>
    <row r="91" spans="15:15">
      <c r="O91">
        <f>IF(G91&lt;&gt;0,H91/G91*(1-'RFQ Data'!$I$36),0)</f>
        <v>0</v>
      </c>
    </row>
  </sheetData>
  <mergeCells count="3">
    <mergeCell ref="E8:E9"/>
    <mergeCell ref="F8:F9"/>
    <mergeCell ref="G8:G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D75D-9E26-44D6-9D69-DFB269834CE7}">
  <sheetPr codeName="Feuil8"/>
  <dimension ref="A2:J28"/>
  <sheetViews>
    <sheetView showGridLines="0" zoomScale="112" zoomScaleNormal="112" workbookViewId="0">
      <selection activeCell="F31" sqref="F31"/>
    </sheetView>
  </sheetViews>
  <sheetFormatPr defaultColWidth="10.5703125" defaultRowHeight="14.45"/>
  <cols>
    <col min="1" max="1" width="9" customWidth="1"/>
    <col min="2" max="2" width="13.5703125" customWidth="1"/>
    <col min="3" max="5" width="27" customWidth="1"/>
  </cols>
  <sheetData>
    <row r="2" spans="1:10" ht="21">
      <c r="A2" s="601" t="s">
        <v>638</v>
      </c>
      <c r="B2" s="597"/>
      <c r="C2" s="597"/>
      <c r="D2" s="597"/>
      <c r="E2" s="597"/>
      <c r="F2" s="597"/>
      <c r="G2" s="597"/>
      <c r="H2" s="597"/>
      <c r="I2" s="597"/>
      <c r="J2" s="597"/>
    </row>
    <row r="3" spans="1:10" ht="21">
      <c r="A3" s="597"/>
    </row>
    <row r="4" spans="1:10" ht="21">
      <c r="A4" s="597"/>
      <c r="B4" s="596" t="s">
        <v>639</v>
      </c>
      <c r="C4" s="597"/>
      <c r="D4" s="597"/>
      <c r="E4" s="597"/>
      <c r="F4" s="597"/>
      <c r="G4" s="597"/>
    </row>
    <row r="5" spans="1:10" ht="21">
      <c r="A5" s="597"/>
      <c r="B5" s="596" t="s">
        <v>640</v>
      </c>
      <c r="C5" s="597"/>
      <c r="D5" s="597"/>
      <c r="E5" s="597"/>
      <c r="F5" s="597"/>
      <c r="G5" s="597"/>
    </row>
    <row r="6" spans="1:10" ht="21">
      <c r="A6" s="597"/>
      <c r="B6" s="596" t="s">
        <v>641</v>
      </c>
      <c r="C6" s="597"/>
      <c r="D6" s="597"/>
      <c r="E6" s="597"/>
      <c r="F6" s="597"/>
      <c r="G6" s="597"/>
    </row>
    <row r="7" spans="1:10" ht="21">
      <c r="A7" s="597"/>
      <c r="B7" s="597" t="s">
        <v>642</v>
      </c>
    </row>
    <row r="8" spans="1:10" ht="21">
      <c r="A8" s="597"/>
      <c r="B8" s="597" t="s">
        <v>643</v>
      </c>
    </row>
    <row r="9" spans="1:10" ht="21">
      <c r="A9" s="597"/>
      <c r="B9" s="597"/>
    </row>
    <row r="10" spans="1:10" ht="21">
      <c r="A10" s="597"/>
      <c r="B10" s="596" t="s">
        <v>644</v>
      </c>
      <c r="D10" s="597"/>
      <c r="E10" s="597"/>
      <c r="F10" s="597"/>
      <c r="G10" s="597"/>
      <c r="H10" s="597"/>
      <c r="I10" s="597"/>
      <c r="J10" s="597"/>
    </row>
    <row r="11" spans="1:10" ht="21">
      <c r="A11" s="597"/>
      <c r="B11" s="596"/>
      <c r="C11" s="597" t="s">
        <v>645</v>
      </c>
      <c r="D11" s="597"/>
      <c r="E11" s="597"/>
      <c r="F11" s="597"/>
      <c r="G11" s="597"/>
      <c r="H11" s="597"/>
      <c r="I11" s="597"/>
      <c r="J11" s="597"/>
    </row>
    <row r="12" spans="1:10" ht="21">
      <c r="A12" s="597"/>
      <c r="C12" s="597" t="s">
        <v>646</v>
      </c>
      <c r="D12" s="597"/>
      <c r="E12" s="597"/>
      <c r="F12" s="597"/>
      <c r="G12" s="597"/>
      <c r="H12" s="597"/>
      <c r="I12" s="597"/>
      <c r="J12" s="597"/>
    </row>
    <row r="13" spans="1:10" ht="21">
      <c r="A13" s="597"/>
      <c r="C13" s="597" t="s">
        <v>647</v>
      </c>
      <c r="D13" s="597"/>
      <c r="E13" s="597"/>
      <c r="F13" s="597"/>
      <c r="G13" s="597"/>
      <c r="H13" s="597"/>
      <c r="I13" s="597"/>
      <c r="J13" s="597"/>
    </row>
    <row r="14" spans="1:10" ht="21">
      <c r="A14" s="597"/>
      <c r="C14" s="597" t="s">
        <v>648</v>
      </c>
      <c r="D14" s="597"/>
      <c r="E14" s="597"/>
      <c r="F14" s="597"/>
      <c r="G14" s="597"/>
      <c r="H14" s="597"/>
      <c r="I14" s="597"/>
      <c r="J14" s="597"/>
    </row>
    <row r="15" spans="1:10" ht="21">
      <c r="A15" s="597"/>
      <c r="B15" s="597"/>
      <c r="C15" s="597"/>
      <c r="D15" s="597"/>
      <c r="E15" s="597"/>
      <c r="F15" s="597"/>
      <c r="G15" s="597"/>
      <c r="H15" s="597"/>
      <c r="I15" s="597"/>
      <c r="J15" s="597"/>
    </row>
    <row r="16" spans="1:10" ht="21">
      <c r="A16" s="597"/>
      <c r="B16" s="596" t="s">
        <v>649</v>
      </c>
      <c r="C16" s="597"/>
      <c r="D16" s="597"/>
      <c r="E16" s="597"/>
      <c r="F16" s="597"/>
      <c r="G16" s="597"/>
      <c r="H16" s="597"/>
      <c r="I16" s="597"/>
      <c r="J16" s="597"/>
    </row>
    <row r="17" spans="1:10" ht="21">
      <c r="A17" s="597"/>
      <c r="B17" s="597"/>
      <c r="C17" s="598" t="s">
        <v>650</v>
      </c>
      <c r="D17" s="598" t="s">
        <v>651</v>
      </c>
      <c r="E17" s="598" t="s">
        <v>652</v>
      </c>
      <c r="F17" s="597"/>
      <c r="G17" s="597"/>
      <c r="H17" s="597"/>
      <c r="I17" s="597"/>
      <c r="J17" s="597"/>
    </row>
    <row r="18" spans="1:10" ht="21">
      <c r="A18" s="597"/>
      <c r="B18" s="598" t="s">
        <v>653</v>
      </c>
      <c r="C18" s="598" t="s">
        <v>654</v>
      </c>
      <c r="D18" s="598" t="s">
        <v>655</v>
      </c>
      <c r="E18" s="597" t="s">
        <v>656</v>
      </c>
      <c r="F18" s="597"/>
      <c r="G18" s="597"/>
      <c r="H18" s="597"/>
      <c r="I18" s="597"/>
      <c r="J18" s="597"/>
    </row>
    <row r="19" spans="1:10" ht="21">
      <c r="A19" s="597"/>
      <c r="B19" s="599">
        <v>100</v>
      </c>
      <c r="C19" s="599">
        <v>400</v>
      </c>
      <c r="D19" s="599">
        <f>C19/2</f>
        <v>200</v>
      </c>
      <c r="E19" s="599">
        <v>100</v>
      </c>
      <c r="F19" s="597"/>
      <c r="G19" s="597"/>
      <c r="H19" s="597"/>
      <c r="I19" s="597"/>
      <c r="J19" s="597"/>
    </row>
    <row r="20" spans="1:10" ht="21">
      <c r="A20" s="597"/>
      <c r="B20" s="599">
        <v>200</v>
      </c>
      <c r="C20" s="599">
        <v>600</v>
      </c>
      <c r="D20" s="599">
        <f t="shared" ref="D20:D22" si="0">C20/2</f>
        <v>300</v>
      </c>
      <c r="E20" s="599">
        <f>C20/4</f>
        <v>150</v>
      </c>
      <c r="F20" s="597"/>
      <c r="G20" s="597"/>
      <c r="H20" s="597"/>
      <c r="I20" s="597"/>
      <c r="J20" s="597"/>
    </row>
    <row r="21" spans="1:10" ht="21">
      <c r="A21" s="597"/>
      <c r="B21" s="599">
        <v>500</v>
      </c>
      <c r="C21" s="599">
        <v>1000</v>
      </c>
      <c r="D21" s="599">
        <f t="shared" si="0"/>
        <v>500</v>
      </c>
      <c r="E21" s="599">
        <f>C21/4</f>
        <v>250</v>
      </c>
      <c r="F21" s="597"/>
      <c r="G21" s="597"/>
      <c r="H21" s="597"/>
      <c r="I21" s="597"/>
      <c r="J21" s="597"/>
    </row>
    <row r="22" spans="1:10" ht="21">
      <c r="A22" s="597"/>
      <c r="B22" s="599">
        <v>2500</v>
      </c>
      <c r="C22" s="599">
        <v>2500</v>
      </c>
      <c r="D22" s="599">
        <f t="shared" si="0"/>
        <v>1250</v>
      </c>
      <c r="E22" s="599">
        <f>C22/4</f>
        <v>625</v>
      </c>
      <c r="F22" s="597"/>
      <c r="G22" s="597"/>
      <c r="H22" s="597"/>
      <c r="I22" s="597"/>
      <c r="J22" s="597"/>
    </row>
    <row r="23" spans="1:10" ht="21">
      <c r="A23" s="597"/>
      <c r="B23" s="597"/>
      <c r="C23" s="598" t="s">
        <v>61</v>
      </c>
      <c r="D23" s="598" t="s">
        <v>61</v>
      </c>
      <c r="E23" s="598" t="s">
        <v>61</v>
      </c>
      <c r="F23" s="597"/>
      <c r="G23" s="597"/>
      <c r="H23" s="597"/>
      <c r="I23" s="597"/>
      <c r="J23" s="597"/>
    </row>
    <row r="24" spans="1:10" ht="21">
      <c r="A24" s="597"/>
      <c r="B24" s="597"/>
      <c r="C24" s="597"/>
      <c r="D24" s="597"/>
      <c r="E24" s="600" t="s">
        <v>657</v>
      </c>
      <c r="F24" s="597"/>
      <c r="G24" s="597"/>
      <c r="H24" s="597"/>
      <c r="I24" s="597"/>
      <c r="J24" s="597"/>
    </row>
    <row r="25" spans="1:10" ht="21">
      <c r="A25" s="597"/>
      <c r="B25" s="597"/>
      <c r="C25" s="597"/>
      <c r="D25" s="597"/>
      <c r="E25" s="597"/>
      <c r="F25" s="597"/>
      <c r="G25" s="597"/>
      <c r="H25" s="597"/>
      <c r="I25" s="597"/>
      <c r="J25" s="597"/>
    </row>
    <row r="26" spans="1:10" ht="21">
      <c r="A26" s="597"/>
      <c r="B26" s="602" t="s">
        <v>658</v>
      </c>
      <c r="C26" s="597"/>
      <c r="D26" s="597"/>
      <c r="E26" s="597"/>
      <c r="F26" s="597"/>
      <c r="G26" s="597"/>
      <c r="H26" s="597"/>
      <c r="I26" s="597"/>
      <c r="J26" s="597"/>
    </row>
    <row r="27" spans="1:10" ht="21">
      <c r="A27" s="597"/>
      <c r="B27" s="602" t="s">
        <v>659</v>
      </c>
      <c r="C27" s="597"/>
      <c r="D27" s="597"/>
      <c r="E27" s="597"/>
      <c r="F27" s="597"/>
      <c r="G27" s="597"/>
      <c r="H27" s="597"/>
      <c r="I27" s="597"/>
      <c r="J27" s="597"/>
    </row>
    <row r="28" spans="1:10" ht="21">
      <c r="A28" s="597"/>
      <c r="B28" s="602" t="s">
        <v>660</v>
      </c>
      <c r="C28" s="597"/>
      <c r="D28" s="597"/>
      <c r="E28" s="597"/>
      <c r="F28" s="597"/>
      <c r="G28" s="597"/>
      <c r="H28" s="597"/>
      <c r="I28" s="597"/>
      <c r="J28" s="59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A30FB2032EE4190228FB6587B40E1" ma:contentTypeVersion="21" ma:contentTypeDescription="Create a new document." ma:contentTypeScope="" ma:versionID="0348bf402e23aad79c1cdd8d372812ff">
  <xsd:schema xmlns:xsd="http://www.w3.org/2001/XMLSchema" xmlns:xs="http://www.w3.org/2001/XMLSchema" xmlns:p="http://schemas.microsoft.com/office/2006/metadata/properties" xmlns:ns2="17b7c3bd-a36b-4c7a-8e51-c04be63ab312" xmlns:ns3="188f5a11-2bf4-418b-b008-ffcae9c66463" targetNamespace="http://schemas.microsoft.com/office/2006/metadata/properties" ma:root="true" ma:fieldsID="402749ecc14b60773e220995f969f443" ns2:_="" ns3:_="">
    <xsd:import namespace="17b7c3bd-a36b-4c7a-8e51-c04be63ab312"/>
    <xsd:import namespace="188f5a11-2bf4-418b-b008-ffcae9c66463"/>
    <xsd:element name="properties">
      <xsd:complexType>
        <xsd:sequence>
          <xsd:element name="documentManagement">
            <xsd:complexType>
              <xsd:all>
                <xsd:element ref="ns2:QuoteID" minOccurs="0"/>
                <xsd:element ref="ns2:DocType" minOccurs="0"/>
                <xsd:element ref="ns2:RFQReport" minOccurs="0"/>
                <xsd:element ref="ns2:MasterQuoteID" minOccurs="0"/>
                <xsd:element ref="ns2:VersionNo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Input_x002f_Output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7c3bd-a36b-4c7a-8e51-c04be63ab312" elementFormDefault="qualified">
    <xsd:import namespace="http://schemas.microsoft.com/office/2006/documentManagement/types"/>
    <xsd:import namespace="http://schemas.microsoft.com/office/infopath/2007/PartnerControls"/>
    <xsd:element name="QuoteID" ma:index="8" nillable="true" ma:displayName="QuoteID" ma:format="Dropdown" ma:internalName="QuoteID">
      <xsd:simpleType>
        <xsd:restriction base="dms:Text">
          <xsd:maxLength value="255"/>
        </xsd:restriction>
      </xsd:simpleType>
    </xsd:element>
    <xsd:element name="DocType" ma:index="9" nillable="true" ma:displayName="DocType" ma:format="Dropdown" ma:internalName="DocType">
      <xsd:simpleType>
        <xsd:restriction base="dms:Text">
          <xsd:maxLength value="255"/>
        </xsd:restriction>
      </xsd:simpleType>
    </xsd:element>
    <xsd:element name="RFQReport" ma:index="10" nillable="true" ma:displayName="RFQReport" ma:default="0" ma:format="Dropdown" ma:internalName="RFQReport">
      <xsd:simpleType>
        <xsd:restriction base="dms:Boolean"/>
      </xsd:simpleType>
    </xsd:element>
    <xsd:element name="MasterQuoteID" ma:index="11" nillable="true" ma:displayName="MasterQuoteID" ma:format="Dropdown" ma:internalName="MasterQuoteID">
      <xsd:simpleType>
        <xsd:restriction base="dms:Text">
          <xsd:maxLength value="255"/>
        </xsd:restriction>
      </xsd:simpleType>
    </xsd:element>
    <xsd:element name="VersionNo" ma:index="12" nillable="true" ma:displayName="VersionNo" ma:format="Dropdown" ma:internalName="VersionNo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9498ac7-68cc-48ea-a29a-cd5022356a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put_x002f_Output" ma:index="26" nillable="true" ma:displayName="Input/Output" ma:format="Dropdown" ma:internalName="Input_x002f_Output">
      <xsd:simpleType>
        <xsd:restriction base="dms:Text">
          <xsd:maxLength value="255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f5a11-2bf4-418b-b008-ffcae9c6646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700ff6-167d-4d58-a8bc-474f6f25fc2f}" ma:internalName="TaxCatchAll" ma:showField="CatchAllData" ma:web="188f5a11-2bf4-418b-b008-ffcae9c664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8f5a11-2bf4-418b-b008-ffcae9c66463" xsi:nil="true"/>
    <lcf76f155ced4ddcb4097134ff3c332f xmlns="17b7c3bd-a36b-4c7a-8e51-c04be63ab312">
      <Terms xmlns="http://schemas.microsoft.com/office/infopath/2007/PartnerControls"/>
    </lcf76f155ced4ddcb4097134ff3c332f>
    <SharedWithUsers xmlns="188f5a11-2bf4-418b-b008-ffcae9c66463">
      <UserInfo>
        <DisplayName>Francis Vimalraj  CHRISTARAJ</DisplayName>
        <AccountId>739</AccountId>
        <AccountType/>
      </UserInfo>
    </SharedWithUsers>
    <Input_x002f_Output xmlns="17b7c3bd-a36b-4c7a-8e51-c04be63ab312">Output</Input_x002f_Output>
    <MasterQuoteID xmlns="17b7c3bd-a36b-4c7a-8e51-c04be63ab312">25626-BRU</MasterQuoteID>
    <VersionNo xmlns="17b7c3bd-a36b-4c7a-8e51-c04be63ab312" xsi:nil="true"/>
    <RFQReport xmlns="17b7c3bd-a36b-4c7a-8e51-c04be63ab312">false</RFQReport>
    <DocType xmlns="17b7c3bd-a36b-4c7a-8e51-c04be63ab312">CostingOutput</DocType>
    <QuoteID xmlns="17b7c3bd-a36b-4c7a-8e51-c04be63ab312">25626-BRU-00</Quote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3D5D7-70BB-4901-B145-A372121E3262}"/>
</file>

<file path=customXml/itemProps2.xml><?xml version="1.0" encoding="utf-8"?>
<ds:datastoreItem xmlns:ds="http://schemas.openxmlformats.org/officeDocument/2006/customXml" ds:itemID="{2D866D04-502F-45D9-B51D-C5BF43E1A36D}"/>
</file>

<file path=customXml/itemProps3.xml><?xml version="1.0" encoding="utf-8"?>
<ds:datastoreItem xmlns:ds="http://schemas.openxmlformats.org/officeDocument/2006/customXml" ds:itemID="{A780ED0A-C0D0-4C74-BE78-E9A3D647F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Cédric BOUVIER</dc:creator>
  <cp:keywords/>
  <dc:description/>
  <cp:lastModifiedBy/>
  <cp:revision/>
  <dcterms:created xsi:type="dcterms:W3CDTF">2022-08-30T15:39:21Z</dcterms:created>
  <dcterms:modified xsi:type="dcterms:W3CDTF">2025-12-25T08:15:49Z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0x01010038CA30FB2032EE4190228FB6587B40E1</vt:lpwstr>
  </property>
  <property fmtid="{D5CDD505-2E9C-101B-9397-08002B2CF9AE}" pid="3" name="MediaServiceImageTags">
    <vt:lpwstr/>
  </property>
</Properties>
</file>